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99315bbd0eea6d1/Desktop/"/>
    </mc:Choice>
  </mc:AlternateContent>
  <xr:revisionPtr revIDLastSave="111" documentId="8_{8A836F9C-E9BF-42B6-B0BF-5B0CF6229921}" xr6:coauthVersionLast="47" xr6:coauthVersionMax="47" xr10:uidLastSave="{2076690F-8BC4-4C9F-BBF0-D1D864ECAFE3}"/>
  <bookViews>
    <workbookView xWindow="-96" yWindow="0" windowWidth="11712" windowHeight="12336" activeTab="2" xr2:uid="{FBD636AB-FA58-4091-BDA5-49888DBECCB1}"/>
  </bookViews>
  <sheets>
    <sheet name="Sheet2" sheetId="2" r:id="rId1"/>
    <sheet name="Sheet3" sheetId="3" r:id="rId2"/>
    <sheet name="Sheet1" sheetId="1" r:id="rId3"/>
  </sheets>
  <definedNames>
    <definedName name="_xlnm._FilterDatabase" localSheetId="2" hidden="1">Sheet1!$A$1:$N$524</definedName>
  </definedNames>
  <calcPr calcId="191029"/>
  <pivotCaches>
    <pivotCache cacheId="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23" i="1" l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  <c r="Q523" i="1"/>
  <c r="Q522" i="1"/>
  <c r="Q521" i="1"/>
  <c r="Q520" i="1"/>
  <c r="Q519" i="1"/>
  <c r="Q518" i="1"/>
  <c r="Q517" i="1"/>
  <c r="Q516" i="1"/>
  <c r="Q515" i="1"/>
  <c r="Q514" i="1"/>
  <c r="Q513" i="1"/>
  <c r="Q512" i="1"/>
  <c r="Q511" i="1"/>
  <c r="Q510" i="1"/>
  <c r="Q509" i="1"/>
  <c r="Q508" i="1"/>
  <c r="Q507" i="1"/>
  <c r="Q506" i="1"/>
  <c r="Q505" i="1"/>
  <c r="Q504" i="1"/>
  <c r="Q503" i="1"/>
  <c r="Q502" i="1"/>
  <c r="Q501" i="1"/>
  <c r="Q500" i="1"/>
  <c r="Q499" i="1"/>
  <c r="Q498" i="1"/>
  <c r="Q497" i="1"/>
  <c r="Q496" i="1"/>
  <c r="Q495" i="1"/>
  <c r="Q494" i="1"/>
  <c r="Q493" i="1"/>
  <c r="Q492" i="1"/>
  <c r="Q491" i="1"/>
  <c r="Q490" i="1"/>
  <c r="Q489" i="1"/>
  <c r="Q488" i="1"/>
  <c r="Q487" i="1"/>
  <c r="Q486" i="1"/>
  <c r="Q485" i="1"/>
  <c r="Q484" i="1"/>
  <c r="Q483" i="1"/>
  <c r="Q482" i="1"/>
  <c r="Q481" i="1"/>
  <c r="Q480" i="1"/>
  <c r="Q479" i="1"/>
  <c r="Q478" i="1"/>
  <c r="Q477" i="1"/>
  <c r="Q476" i="1"/>
  <c r="Q475" i="1"/>
  <c r="Q474" i="1"/>
  <c r="Q473" i="1"/>
  <c r="Q472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5" i="1"/>
  <c r="Q454" i="1"/>
  <c r="Q453" i="1"/>
  <c r="Q452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  <c r="P523" i="1"/>
  <c r="P522" i="1"/>
  <c r="P521" i="1"/>
  <c r="P520" i="1"/>
  <c r="P519" i="1"/>
  <c r="P518" i="1"/>
  <c r="P517" i="1"/>
  <c r="P516" i="1"/>
  <c r="P515" i="1"/>
  <c r="P514" i="1"/>
  <c r="P513" i="1"/>
  <c r="P512" i="1"/>
  <c r="P511" i="1"/>
  <c r="P510" i="1"/>
  <c r="P509" i="1"/>
  <c r="P508" i="1"/>
  <c r="P507" i="1"/>
  <c r="P506" i="1"/>
  <c r="P505" i="1"/>
  <c r="P504" i="1"/>
  <c r="P503" i="1"/>
  <c r="P502" i="1"/>
  <c r="P501" i="1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  <c r="R524" i="1"/>
  <c r="Q524" i="1"/>
  <c r="P524" i="1"/>
  <c r="O524" i="1"/>
</calcChain>
</file>

<file path=xl/sharedStrings.xml><?xml version="1.0" encoding="utf-8"?>
<sst xmlns="http://schemas.openxmlformats.org/spreadsheetml/2006/main" count="1724" uniqueCount="1200">
  <si>
    <t xml:space="preserve">Date </t>
  </si>
  <si>
    <t xml:space="preserve">series </t>
  </si>
  <si>
    <t xml:space="preserve">OPEN </t>
  </si>
  <si>
    <t xml:space="preserve">HIGH </t>
  </si>
  <si>
    <t xml:space="preserve">LOW </t>
  </si>
  <si>
    <t xml:space="preserve">PREV. CLOSE </t>
  </si>
  <si>
    <t xml:space="preserve">ltp </t>
  </si>
  <si>
    <t xml:space="preserve">close </t>
  </si>
  <si>
    <t xml:space="preserve">vwap </t>
  </si>
  <si>
    <t xml:space="preserve">52W H </t>
  </si>
  <si>
    <t xml:space="preserve">52W L </t>
  </si>
  <si>
    <t xml:space="preserve">VOLUME </t>
  </si>
  <si>
    <t xml:space="preserve">VALUE </t>
  </si>
  <si>
    <t xml:space="preserve">No of trades </t>
  </si>
  <si>
    <t>EQ</t>
  </si>
  <si>
    <t>6,90,142</t>
  </si>
  <si>
    <t>1,76,15,12,977.80</t>
  </si>
  <si>
    <t>6,51,703</t>
  </si>
  <si>
    <t>1,65,84,13,980.20</t>
  </si>
  <si>
    <t>10,63,357</t>
  </si>
  <si>
    <t>2,68,46,38,963.00</t>
  </si>
  <si>
    <t>11,20,230</t>
  </si>
  <si>
    <t>2,88,95,48,494.10</t>
  </si>
  <si>
    <t>6,54,955</t>
  </si>
  <si>
    <t>1,68,67,80,114.40</t>
  </si>
  <si>
    <t>9,17,651</t>
  </si>
  <si>
    <t>2,37,53,28,265.00</t>
  </si>
  <si>
    <t>15,73,485</t>
  </si>
  <si>
    <t>3,98,83,12,895.90</t>
  </si>
  <si>
    <t>7,12,592</t>
  </si>
  <si>
    <t>1,79,07,19,447.80</t>
  </si>
  <si>
    <t>10,12,402</t>
  </si>
  <si>
    <t>2,55,95,63,054.80</t>
  </si>
  <si>
    <t>10,37,808</t>
  </si>
  <si>
    <t>2,66,80,58,103.20</t>
  </si>
  <si>
    <t>14,89,682</t>
  </si>
  <si>
    <t>3,88,55,60,965.20</t>
  </si>
  <si>
    <t>17,20,785</t>
  </si>
  <si>
    <t>4,55,64,38,133.60</t>
  </si>
  <si>
    <t>56,10,022</t>
  </si>
  <si>
    <t>14,95,51,50,460.50</t>
  </si>
  <si>
    <t>1,67,336</t>
  </si>
  <si>
    <t>70,22,985</t>
  </si>
  <si>
    <t>18,36,85,42,067.50</t>
  </si>
  <si>
    <t>2,00,598</t>
  </si>
  <si>
    <t>79,65,135</t>
  </si>
  <si>
    <t>20,07,22,48,387.70</t>
  </si>
  <si>
    <t>2,38,677</t>
  </si>
  <si>
    <t>7,03,730</t>
  </si>
  <si>
    <t>1,69,56,70,672.20</t>
  </si>
  <si>
    <t>5,14,354</t>
  </si>
  <si>
    <t>1,23,57,34,218.70</t>
  </si>
  <si>
    <t>7,52,979</t>
  </si>
  <si>
    <t>1,80,56,72,317.40</t>
  </si>
  <si>
    <t>2,98,129</t>
  </si>
  <si>
    <t>71,24,05,119.00</t>
  </si>
  <si>
    <t>5,33,971</t>
  </si>
  <si>
    <t>1,28,36,38,080.00</t>
  </si>
  <si>
    <t>21,11,888</t>
  </si>
  <si>
    <t>5,05,59,16,547.10</t>
  </si>
  <si>
    <t>3,90,490</t>
  </si>
  <si>
    <t>91,28,61,255.60</t>
  </si>
  <si>
    <t>3,69,431</t>
  </si>
  <si>
    <t>85,41,30,058.50</t>
  </si>
  <si>
    <t>5,42,811</t>
  </si>
  <si>
    <t>1,25,82,25,214.30</t>
  </si>
  <si>
    <t>4,43,010</t>
  </si>
  <si>
    <t>1,00,73,21,887.50</t>
  </si>
  <si>
    <t>3,92,697</t>
  </si>
  <si>
    <t>89,97,99,540.00</t>
  </si>
  <si>
    <t>4,43,629</t>
  </si>
  <si>
    <t>1,01,12,51,185.30</t>
  </si>
  <si>
    <t>4,81,894</t>
  </si>
  <si>
    <t>1,10,03,61,913.10</t>
  </si>
  <si>
    <t>4,25,639</t>
  </si>
  <si>
    <t>96,82,57,145.60</t>
  </si>
  <si>
    <t>7,95,699</t>
  </si>
  <si>
    <t>1,79,64,67,753.50</t>
  </si>
  <si>
    <t>9,07,868</t>
  </si>
  <si>
    <t>2,08,37,29,401.30</t>
  </si>
  <si>
    <t>10,71,550</t>
  </si>
  <si>
    <t>2,43,41,85,935.90</t>
  </si>
  <si>
    <t>5,42,455</t>
  </si>
  <si>
    <t>1,25,73,53,106.10</t>
  </si>
  <si>
    <t>5,84,211</t>
  </si>
  <si>
    <t>1,36,59,92,606.00</t>
  </si>
  <si>
    <t>4,41,867</t>
  </si>
  <si>
    <t>1,05,37,78,241.00</t>
  </si>
  <si>
    <t>7,80,025</t>
  </si>
  <si>
    <t>1,86,42,08,978.30</t>
  </si>
  <si>
    <t>10,69,432</t>
  </si>
  <si>
    <t>2,53,26,11,818.70</t>
  </si>
  <si>
    <t>9,88,629</t>
  </si>
  <si>
    <t>2,31,27,43,728.00</t>
  </si>
  <si>
    <t>9,98,109</t>
  </si>
  <si>
    <t>2,28,12,82,532.50</t>
  </si>
  <si>
    <t>8,33,679</t>
  </si>
  <si>
    <t>1,89,98,84,902.70</t>
  </si>
  <si>
    <t>10,75,526</t>
  </si>
  <si>
    <t>2,46,31,07,533.50</t>
  </si>
  <si>
    <t>23,76,286</t>
  </si>
  <si>
    <t>5,36,48,00,460.40</t>
  </si>
  <si>
    <t>1,18,272</t>
  </si>
  <si>
    <t>25,52,736</t>
  </si>
  <si>
    <t>5,57,84,04,691.30</t>
  </si>
  <si>
    <t>1,01,023</t>
  </si>
  <si>
    <t>15,29,410</t>
  </si>
  <si>
    <t>3,43,21,83,084.70</t>
  </si>
  <si>
    <t>6,31,582</t>
  </si>
  <si>
    <t>1,45,99,65,783.80</t>
  </si>
  <si>
    <t>5,76,742</t>
  </si>
  <si>
    <t>1,34,57,85,609.30</t>
  </si>
  <si>
    <t>5,76,426</t>
  </si>
  <si>
    <t>1,35,95,14,762.40</t>
  </si>
  <si>
    <t>9,76,341</t>
  </si>
  <si>
    <t>2,33,08,21,711.40</t>
  </si>
  <si>
    <t>14,57,616</t>
  </si>
  <si>
    <t>3,59,51,67,944.00</t>
  </si>
  <si>
    <t>2,62,063</t>
  </si>
  <si>
    <t>66,59,16,830.10</t>
  </si>
  <si>
    <t>4,24,781</t>
  </si>
  <si>
    <t>1,07,67,00,049.20</t>
  </si>
  <si>
    <t>4,28,409</t>
  </si>
  <si>
    <t>1,09,05,36,114.10</t>
  </si>
  <si>
    <t>4,24,612</t>
  </si>
  <si>
    <t>1,09,05,98,540.70</t>
  </si>
  <si>
    <t>2,53,782</t>
  </si>
  <si>
    <t>66,17,75,799.00</t>
  </si>
  <si>
    <t>3,16,424</t>
  </si>
  <si>
    <t>82,67,31,600.80</t>
  </si>
  <si>
    <t>3,87,055</t>
  </si>
  <si>
    <t>1,00,63,40,863.60</t>
  </si>
  <si>
    <t>3,69,782</t>
  </si>
  <si>
    <t>96,59,53,134.90</t>
  </si>
  <si>
    <t>4,79,942</t>
  </si>
  <si>
    <t>1,24,77,52,864.90</t>
  </si>
  <si>
    <t>7,85,771</t>
  </si>
  <si>
    <t>2,06,54,38,554.40</t>
  </si>
  <si>
    <t>6,86,644</t>
  </si>
  <si>
    <t>1,79,25,15,079.70</t>
  </si>
  <si>
    <t>3,79,425</t>
  </si>
  <si>
    <t>98,39,07,052.20</t>
  </si>
  <si>
    <t>5,36,585</t>
  </si>
  <si>
    <t>1,38,25,79,729.90</t>
  </si>
  <si>
    <t>3,90,645</t>
  </si>
  <si>
    <t>1,00,30,79,094.40</t>
  </si>
  <si>
    <t>3,06,565</t>
  </si>
  <si>
    <t>79,27,77,105.90</t>
  </si>
  <si>
    <t>3,96,880</t>
  </si>
  <si>
    <t>1,02,73,13,944.80</t>
  </si>
  <si>
    <t>3,57,701</t>
  </si>
  <si>
    <t>92,48,20,759.70</t>
  </si>
  <si>
    <t>4,12,159</t>
  </si>
  <si>
    <t>1,06,45,98,371.00</t>
  </si>
  <si>
    <t>3,70,305</t>
  </si>
  <si>
    <t>96,24,78,336.90</t>
  </si>
  <si>
    <t>5,02,724</t>
  </si>
  <si>
    <t>1,31,61,81,025.70</t>
  </si>
  <si>
    <t>6,21,409</t>
  </si>
  <si>
    <t>1,63,47,20,496.70</t>
  </si>
  <si>
    <t>7,29,197</t>
  </si>
  <si>
    <t>1,91,41,51,988.60</t>
  </si>
  <si>
    <t>6,94,815</t>
  </si>
  <si>
    <t>1,82,26,13,877.40</t>
  </si>
  <si>
    <t>40,49,316</t>
  </si>
  <si>
    <t>10,70,01,80,116.50</t>
  </si>
  <si>
    <t>1,21,691</t>
  </si>
  <si>
    <t>13,39,627</t>
  </si>
  <si>
    <t>3,42,93,92,562.90</t>
  </si>
  <si>
    <t>9,21,346</t>
  </si>
  <si>
    <t>2,32,90,38,620.00</t>
  </si>
  <si>
    <t>9,96,405</t>
  </si>
  <si>
    <t>2,51,39,87,078.10</t>
  </si>
  <si>
    <t>7,90,535</t>
  </si>
  <si>
    <t>1,95,08,02,535.10</t>
  </si>
  <si>
    <t>30,02,549</t>
  </si>
  <si>
    <t>7,34,87,11,678.30</t>
  </si>
  <si>
    <t>6,88,209</t>
  </si>
  <si>
    <t>1,67,31,59,035.30</t>
  </si>
  <si>
    <t>6,67,044</t>
  </si>
  <si>
    <t>1,64,61,95,888.90</t>
  </si>
  <si>
    <t>7,03,343</t>
  </si>
  <si>
    <t>1,75,80,33,674.00</t>
  </si>
  <si>
    <t>9,56,459</t>
  </si>
  <si>
    <t>2,41,73,91,113.60</t>
  </si>
  <si>
    <t>6,95,869</t>
  </si>
  <si>
    <t>1,74,15,71,339.80</t>
  </si>
  <si>
    <t>9,55,097</t>
  </si>
  <si>
    <t>2,44,69,39,967.50</t>
  </si>
  <si>
    <t>7,45,432</t>
  </si>
  <si>
    <t>1,93,55,25,579.10</t>
  </si>
  <si>
    <t>20,84,054</t>
  </si>
  <si>
    <t>5,47,34,55,604.00</t>
  </si>
  <si>
    <t>17,11,167</t>
  </si>
  <si>
    <t>4,39,48,37,920.10</t>
  </si>
  <si>
    <t>6,40,680</t>
  </si>
  <si>
    <t>1,62,40,90,172.10</t>
  </si>
  <si>
    <t>6,73,209</t>
  </si>
  <si>
    <t>1,69,01,06,619.00</t>
  </si>
  <si>
    <t>5,52,667</t>
  </si>
  <si>
    <t>1,36,83,23,179.00</t>
  </si>
  <si>
    <t>9,62,708</t>
  </si>
  <si>
    <t>2,38,81,30,046.80</t>
  </si>
  <si>
    <t>10,08,716</t>
  </si>
  <si>
    <t>2,55,69,83,906.10</t>
  </si>
  <si>
    <t>6,84,592</t>
  </si>
  <si>
    <t>1,73,23,90,518.50</t>
  </si>
  <si>
    <t>8,02,317</t>
  </si>
  <si>
    <t>2,03,42,55,480.20</t>
  </si>
  <si>
    <t>5,75,989</t>
  </si>
  <si>
    <t>1,45,72,16,561.00</t>
  </si>
  <si>
    <t>5,14,936</t>
  </si>
  <si>
    <t>1,31,20,47,698.40</t>
  </si>
  <si>
    <t>5,52,912</t>
  </si>
  <si>
    <t>1,41,22,34,006.30</t>
  </si>
  <si>
    <t>9,68,415</t>
  </si>
  <si>
    <t>2,45,05,71,901.80</t>
  </si>
  <si>
    <t>9,06,909</t>
  </si>
  <si>
    <t>2,26,00,32,832.60</t>
  </si>
  <si>
    <t>5,29,234</t>
  </si>
  <si>
    <t>1,32,47,89,276.20</t>
  </si>
  <si>
    <t>6,28,023</t>
  </si>
  <si>
    <t>1,58,89,60,279.60</t>
  </si>
  <si>
    <t>6,81,000</t>
  </si>
  <si>
    <t>1,74,12,34,569.50</t>
  </si>
  <si>
    <t>16,41,135</t>
  </si>
  <si>
    <t>4,19,45,42,095.70</t>
  </si>
  <si>
    <t>15,54,801</t>
  </si>
  <si>
    <t>3,88,60,46,496.80</t>
  </si>
  <si>
    <t>1,06,591</t>
  </si>
  <si>
    <t>7,74,441</t>
  </si>
  <si>
    <t>1,90,89,34,668.10</t>
  </si>
  <si>
    <t>18,15,179</t>
  </si>
  <si>
    <t>4,41,19,03,804.50</t>
  </si>
  <si>
    <t>21,47,039</t>
  </si>
  <si>
    <t>5,16,16,86,867.40</t>
  </si>
  <si>
    <t>10,06,000</t>
  </si>
  <si>
    <t>2,26,08,39,448.00</t>
  </si>
  <si>
    <t>13,80,069</t>
  </si>
  <si>
    <t>3,19,65,41,646.50</t>
  </si>
  <si>
    <t>10,12,640</t>
  </si>
  <si>
    <t>2,38,17,61,493.00</t>
  </si>
  <si>
    <t>15,24,692</t>
  </si>
  <si>
    <t>3,64,99,27,549.30</t>
  </si>
  <si>
    <t>42,27,194</t>
  </si>
  <si>
    <t>10,30,26,95,961.60</t>
  </si>
  <si>
    <t>1,83,049</t>
  </si>
  <si>
    <t>19,58,739</t>
  </si>
  <si>
    <t>4,55,39,08,748.70</t>
  </si>
  <si>
    <t>8,37,464</t>
  </si>
  <si>
    <t>1,93,76,17,333.20</t>
  </si>
  <si>
    <t>6,70,730</t>
  </si>
  <si>
    <t>1,57,87,59,462.30</t>
  </si>
  <si>
    <t>6,81,421</t>
  </si>
  <si>
    <t>1,61,72,15,136.90</t>
  </si>
  <si>
    <t>14,14,809</t>
  </si>
  <si>
    <t>3,34,26,34,532.40</t>
  </si>
  <si>
    <t>5,96,696</t>
  </si>
  <si>
    <t>1,45,69,13,025.00</t>
  </si>
  <si>
    <t>6,72,262</t>
  </si>
  <si>
    <t>1,64,58,17,831.60</t>
  </si>
  <si>
    <t>7,66,567</t>
  </si>
  <si>
    <t>1,88,76,64,919.20</t>
  </si>
  <si>
    <t>7,82,559</t>
  </si>
  <si>
    <t>1,90,67,93,922.10</t>
  </si>
  <si>
    <t>10,54,797</t>
  </si>
  <si>
    <t>2,55,59,05,276.10</t>
  </si>
  <si>
    <t>8,89,949</t>
  </si>
  <si>
    <t>2,14,04,33,979.60</t>
  </si>
  <si>
    <t>11,45,125</t>
  </si>
  <si>
    <t>2,75,98,03,465.60</t>
  </si>
  <si>
    <t>9,81,463</t>
  </si>
  <si>
    <t>2,27,44,74,104.55</t>
  </si>
  <si>
    <t>10,01,633</t>
  </si>
  <si>
    <t>2,24,33,51,290.65</t>
  </si>
  <si>
    <t>12,24,362</t>
  </si>
  <si>
    <t>2,78,34,76,131.90</t>
  </si>
  <si>
    <t>15,67,177</t>
  </si>
  <si>
    <t>3,44,08,40,018.95</t>
  </si>
  <si>
    <t>12,19,733</t>
  </si>
  <si>
    <t>2,85,92,60,997.15</t>
  </si>
  <si>
    <t>10,23,200</t>
  </si>
  <si>
    <t>2,45,97,14,750.35</t>
  </si>
  <si>
    <t>5,73,928</t>
  </si>
  <si>
    <t>1,35,02,73,183.90</t>
  </si>
  <si>
    <t>5,01,942</t>
  </si>
  <si>
    <t>1,17,20,61,738.60</t>
  </si>
  <si>
    <t>18,38,836</t>
  </si>
  <si>
    <t>4,28,57,04,793.55</t>
  </si>
  <si>
    <t>16,96,042</t>
  </si>
  <si>
    <t>3,95,56,17,248.30</t>
  </si>
  <si>
    <t>10,78,870</t>
  </si>
  <si>
    <t>2,51,67,60,395.70</t>
  </si>
  <si>
    <t>7,63,065</t>
  </si>
  <si>
    <t>1,78,49,70,696.70</t>
  </si>
  <si>
    <t>10,10,184</t>
  </si>
  <si>
    <t>2,40,03,95,656.25</t>
  </si>
  <si>
    <t>11,01,418</t>
  </si>
  <si>
    <t>2,60,57,22,416.05</t>
  </si>
  <si>
    <t>25,87,051</t>
  </si>
  <si>
    <t>6,02,78,57,218.35</t>
  </si>
  <si>
    <t>10,30,345</t>
  </si>
  <si>
    <t>2,39,52,19,525.60</t>
  </si>
  <si>
    <t>8,78,007</t>
  </si>
  <si>
    <t>2,01,16,78,785.85</t>
  </si>
  <si>
    <t>9,27,737</t>
  </si>
  <si>
    <t>2,09,27,13,952.25</t>
  </si>
  <si>
    <t>7,50,310</t>
  </si>
  <si>
    <t>1,67,91,15,282.10</t>
  </si>
  <si>
    <t>10,49,076</t>
  </si>
  <si>
    <t>2,34,01,66,133.75</t>
  </si>
  <si>
    <t>9,47,079</t>
  </si>
  <si>
    <t>2,13,20,56,208.05</t>
  </si>
  <si>
    <t>9,40,113</t>
  </si>
  <si>
    <t>2,12,29,33,082.85</t>
  </si>
  <si>
    <t>8,18,806</t>
  </si>
  <si>
    <t>1,84,06,25,572.05</t>
  </si>
  <si>
    <t>8,90,270</t>
  </si>
  <si>
    <t>2,00,39,26,697.65</t>
  </si>
  <si>
    <t>13,70,106</t>
  </si>
  <si>
    <t>3,04,10,80,723.45</t>
  </si>
  <si>
    <t>8,52,978</t>
  </si>
  <si>
    <t>1,82,01,74,526.55</t>
  </si>
  <si>
    <t>15,92,611</t>
  </si>
  <si>
    <t>3,31,09,69,099.90</t>
  </si>
  <si>
    <t>1,05,782</t>
  </si>
  <si>
    <t>23,73,922</t>
  </si>
  <si>
    <t>4,97,06,20,201.20</t>
  </si>
  <si>
    <t>9,41,950</t>
  </si>
  <si>
    <t>1,99,93,78,621.45</t>
  </si>
  <si>
    <t>8,02,131</t>
  </si>
  <si>
    <t>1,71,45,98,343.80</t>
  </si>
  <si>
    <t>10,32,294</t>
  </si>
  <si>
    <t>2,18,45,57,734.20</t>
  </si>
  <si>
    <t>15,40,308</t>
  </si>
  <si>
    <t>3,31,51,17,241.20</t>
  </si>
  <si>
    <t>10,86,670</t>
  </si>
  <si>
    <t>2,37,71,74,267.60</t>
  </si>
  <si>
    <t>12,03,163</t>
  </si>
  <si>
    <t>2,63,19,29,703.40</t>
  </si>
  <si>
    <t>11,38,090</t>
  </si>
  <si>
    <t>2,50,30,16,206.15</t>
  </si>
  <si>
    <t>14,00,160</t>
  </si>
  <si>
    <t>3,05,30,75,121.80</t>
  </si>
  <si>
    <t>1,01,955</t>
  </si>
  <si>
    <t>25,50,043</t>
  </si>
  <si>
    <t>5,54,23,34,587.70</t>
  </si>
  <si>
    <t>1,51,036</t>
  </si>
  <si>
    <t>25,51,940</t>
  </si>
  <si>
    <t>5,85,97,73,361.40</t>
  </si>
  <si>
    <t>1,33,317</t>
  </si>
  <si>
    <t>19,33,098</t>
  </si>
  <si>
    <t>4,50,41,88,676.65</t>
  </si>
  <si>
    <t>1,17,486</t>
  </si>
  <si>
    <t>48,95,456</t>
  </si>
  <si>
    <t>11,53,78,30,168.85</t>
  </si>
  <si>
    <t>2,17,468</t>
  </si>
  <si>
    <t>7,39,708</t>
  </si>
  <si>
    <t>1,70,13,00,256.05</t>
  </si>
  <si>
    <t>8,92,900</t>
  </si>
  <si>
    <t>2,09,00,22,372.55</t>
  </si>
  <si>
    <t>6,80,544</t>
  </si>
  <si>
    <t>1,57,47,35,886.10</t>
  </si>
  <si>
    <t>5,60,940</t>
  </si>
  <si>
    <t>1,30,45,21,649.55</t>
  </si>
  <si>
    <t>6,91,187</t>
  </si>
  <si>
    <t>1,58,64,56,760.25</t>
  </si>
  <si>
    <t>8,24,942</t>
  </si>
  <si>
    <t>1,85,41,42,528.10</t>
  </si>
  <si>
    <t>9,87,362</t>
  </si>
  <si>
    <t>2,26,20,38,363.60</t>
  </si>
  <si>
    <t>20,13,345</t>
  </si>
  <si>
    <t>4,59,23,96,053.15</t>
  </si>
  <si>
    <t>26,01,625</t>
  </si>
  <si>
    <t>5,90,03,14,531.05</t>
  </si>
  <si>
    <t>1,46,148</t>
  </si>
  <si>
    <t>7,85,220</t>
  </si>
  <si>
    <t>1,81,51,53,515.15</t>
  </si>
  <si>
    <t>9,66,497</t>
  </si>
  <si>
    <t>2,20,42,56,354.50</t>
  </si>
  <si>
    <t>10,32,995</t>
  </si>
  <si>
    <t>2,35,92,76,146.20</t>
  </si>
  <si>
    <t>13,88,583</t>
  </si>
  <si>
    <t>3,26,32,39,949.80</t>
  </si>
  <si>
    <t>8,26,721</t>
  </si>
  <si>
    <t>1,97,04,68,165.95</t>
  </si>
  <si>
    <t>11,47,334</t>
  </si>
  <si>
    <t>2,69,62,81,355.85</t>
  </si>
  <si>
    <t>12,06,512</t>
  </si>
  <si>
    <t>2,89,42,94,831.25</t>
  </si>
  <si>
    <t>10,39,435</t>
  </si>
  <si>
    <t>2,52,04,75,244.10</t>
  </si>
  <si>
    <t>11,22,205</t>
  </si>
  <si>
    <t>2,69,79,55,308.80</t>
  </si>
  <si>
    <t>28,41,803</t>
  </si>
  <si>
    <t>6,99,49,28,383.40</t>
  </si>
  <si>
    <t>1,69,165</t>
  </si>
  <si>
    <t>14,21,437</t>
  </si>
  <si>
    <t>3,40,30,67,723.05</t>
  </si>
  <si>
    <t>41,20,705</t>
  </si>
  <si>
    <t>9,76,88,56,958.40</t>
  </si>
  <si>
    <t>2,39,191</t>
  </si>
  <si>
    <t>15,59,903</t>
  </si>
  <si>
    <t>3,55,79,36,653.65</t>
  </si>
  <si>
    <t>1,04,906</t>
  </si>
  <si>
    <t>14,18,808</t>
  </si>
  <si>
    <t>3,41,52,26,216.40</t>
  </si>
  <si>
    <t>1,08,945</t>
  </si>
  <si>
    <t>7,05,838</t>
  </si>
  <si>
    <t>1,75,58,47,995.05</t>
  </si>
  <si>
    <t>8,79,641</t>
  </si>
  <si>
    <t>2,20,71,38,296.70</t>
  </si>
  <si>
    <t>10,19,131</t>
  </si>
  <si>
    <t>2,55,86,10,624.95</t>
  </si>
  <si>
    <t>11,21,398</t>
  </si>
  <si>
    <t>2,80,04,36,508.45</t>
  </si>
  <si>
    <t>9,32,795</t>
  </si>
  <si>
    <t>2,41,51,57,562.20</t>
  </si>
  <si>
    <t>11,67,236</t>
  </si>
  <si>
    <t>2,99,96,70,038.70</t>
  </si>
  <si>
    <t>28,75,721</t>
  </si>
  <si>
    <t>7,36,56,24,004.95</t>
  </si>
  <si>
    <t>1,40,672</t>
  </si>
  <si>
    <t>27,45,674</t>
  </si>
  <si>
    <t>6,94,96,98,941.75</t>
  </si>
  <si>
    <t>1,24,232</t>
  </si>
  <si>
    <t>78,25,097</t>
  </si>
  <si>
    <t>19,94,66,99,899.40</t>
  </si>
  <si>
    <t>3,38,992</t>
  </si>
  <si>
    <t>19,82,291</t>
  </si>
  <si>
    <t>4,79,91,17,988.60</t>
  </si>
  <si>
    <t>8,95,785</t>
  </si>
  <si>
    <t>2,14,02,70,239.05</t>
  </si>
  <si>
    <t>11,56,186</t>
  </si>
  <si>
    <t>2,75,29,41,269.15</t>
  </si>
  <si>
    <t>7,58,920</t>
  </si>
  <si>
    <t>1,78,46,98,418.85</t>
  </si>
  <si>
    <t>13,37,016</t>
  </si>
  <si>
    <t>3,21,38,74,651.15</t>
  </si>
  <si>
    <t>11,81,898</t>
  </si>
  <si>
    <t>2,85,73,43,239.65</t>
  </si>
  <si>
    <t>9,90,217</t>
  </si>
  <si>
    <t>2,44,57,22,193.65</t>
  </si>
  <si>
    <t>10,61,891</t>
  </si>
  <si>
    <t>2,65,83,51,621.40</t>
  </si>
  <si>
    <t>6,54,321</t>
  </si>
  <si>
    <t>1,64,76,11,587.45</t>
  </si>
  <si>
    <t>19,40,935</t>
  </si>
  <si>
    <t>4,88,36,46,911.65</t>
  </si>
  <si>
    <t>25,79,624</t>
  </si>
  <si>
    <t>6,45,06,52,651.50</t>
  </si>
  <si>
    <t>1,36,426</t>
  </si>
  <si>
    <t>7,12,674</t>
  </si>
  <si>
    <t>1,75,42,95,160.95</t>
  </si>
  <si>
    <t>11,19,844</t>
  </si>
  <si>
    <t>2,77,03,52,936.95</t>
  </si>
  <si>
    <t>9,58,369</t>
  </si>
  <si>
    <t>2,39,93,62,640.00</t>
  </si>
  <si>
    <t>12,40,437</t>
  </si>
  <si>
    <t>3,12,27,17,935.80</t>
  </si>
  <si>
    <t>33,33,144</t>
  </si>
  <si>
    <t>8,34,75,17,764.70</t>
  </si>
  <si>
    <t>1,60,996</t>
  </si>
  <si>
    <t>23,44,949</t>
  </si>
  <si>
    <t>5,85,31,85,591.90</t>
  </si>
  <si>
    <t>1,10,526</t>
  </si>
  <si>
    <t>40,70,042</t>
  </si>
  <si>
    <t>10,21,81,12,745.45</t>
  </si>
  <si>
    <t>1,60,160</t>
  </si>
  <si>
    <t>38,07,565</t>
  </si>
  <si>
    <t>9,35,19,20,237.75</t>
  </si>
  <si>
    <t>1,54,130</t>
  </si>
  <si>
    <t>81,91,680</t>
  </si>
  <si>
    <t>20,15,44,78,534.95</t>
  </si>
  <si>
    <t>3,15,730</t>
  </si>
  <si>
    <t>1,44,45,549</t>
  </si>
  <si>
    <t>35,64,76,47,294.05</t>
  </si>
  <si>
    <t>5,90,705</t>
  </si>
  <si>
    <t>1,75,02,156</t>
  </si>
  <si>
    <t>40,68,75,07,250.30</t>
  </si>
  <si>
    <t>6,20,492</t>
  </si>
  <si>
    <t>77,23,187</t>
  </si>
  <si>
    <t>16,91,08,52,564.55</t>
  </si>
  <si>
    <t>3,16,539</t>
  </si>
  <si>
    <t>74,66,733</t>
  </si>
  <si>
    <t>17,13,63,26,445.75</t>
  </si>
  <si>
    <t>2,52,789</t>
  </si>
  <si>
    <t>2,09,39,196</t>
  </si>
  <si>
    <t>45,82,55,77,129.80</t>
  </si>
  <si>
    <t>7,11,465</t>
  </si>
  <si>
    <t>2,17,96,668</t>
  </si>
  <si>
    <t>49,13,62,35,919.80</t>
  </si>
  <si>
    <t>7,92,663</t>
  </si>
  <si>
    <t>5,36,296</t>
  </si>
  <si>
    <t>1,53,30,55,140.35</t>
  </si>
  <si>
    <t>4,89,692</t>
  </si>
  <si>
    <t>1,38,35,79,147.35</t>
  </si>
  <si>
    <t>6,46,797</t>
  </si>
  <si>
    <t>1,82,61,62,603.30</t>
  </si>
  <si>
    <t>8,90,146</t>
  </si>
  <si>
    <t>2,52,83,02,994.40</t>
  </si>
  <si>
    <t>5,97,231</t>
  </si>
  <si>
    <t>1,72,92,82,684.85</t>
  </si>
  <si>
    <t>5,84,144</t>
  </si>
  <si>
    <t>1,70,32,52,458.10</t>
  </si>
  <si>
    <t>8,35,641</t>
  </si>
  <si>
    <t>2,46,29,24,364.35</t>
  </si>
  <si>
    <t>12,85,585</t>
  </si>
  <si>
    <t>3,81,59,33,591.20</t>
  </si>
  <si>
    <t>16,76,755</t>
  </si>
  <si>
    <t>5,04,82,06,527.55</t>
  </si>
  <si>
    <t>7,52,303</t>
  </si>
  <si>
    <t>2,18,08,14,160.90</t>
  </si>
  <si>
    <t>10,59,384</t>
  </si>
  <si>
    <t>3,06,77,82,789.65</t>
  </si>
  <si>
    <t>3,04,673</t>
  </si>
  <si>
    <t>90,09,41,095.70</t>
  </si>
  <si>
    <t>11,56,390</t>
  </si>
  <si>
    <t>3,41,22,92,323.30</t>
  </si>
  <si>
    <t>28,84,272</t>
  </si>
  <si>
    <t>8,49,14,07,655.95</t>
  </si>
  <si>
    <t>1,45,520</t>
  </si>
  <si>
    <t>15,29,844</t>
  </si>
  <si>
    <t>4,29,68,44,785.40</t>
  </si>
  <si>
    <t>1,00,647</t>
  </si>
  <si>
    <t>13,85,033</t>
  </si>
  <si>
    <t>3,84,70,73,277.65</t>
  </si>
  <si>
    <t>19,54,174</t>
  </si>
  <si>
    <t>5,30,85,47,546.20</t>
  </si>
  <si>
    <t>1,25,219</t>
  </si>
  <si>
    <t>9,42,066</t>
  </si>
  <si>
    <t>2,67,28,24,868.15</t>
  </si>
  <si>
    <t>12,70,530</t>
  </si>
  <si>
    <t>3,62,18,06,256.25</t>
  </si>
  <si>
    <t>12,09,732</t>
  </si>
  <si>
    <t>3,46,06,43,283.00</t>
  </si>
  <si>
    <t>10,51,690</t>
  </si>
  <si>
    <t>3,10,16,43,813.50</t>
  </si>
  <si>
    <t>7,96,339</t>
  </si>
  <si>
    <t>2,39,01,16,580.35</t>
  </si>
  <si>
    <t>26,55,289</t>
  </si>
  <si>
    <t>8,05,16,50,401.60</t>
  </si>
  <si>
    <t>5,43,476</t>
  </si>
  <si>
    <t>1,67,88,28,085.90</t>
  </si>
  <si>
    <t>3,71,613</t>
  </si>
  <si>
    <t>1,15,46,79,471.05</t>
  </si>
  <si>
    <t>4,37,728</t>
  </si>
  <si>
    <t>1,36,59,78,649.80</t>
  </si>
  <si>
    <t>10,35,260</t>
  </si>
  <si>
    <t>3,26,02,61,307.65</t>
  </si>
  <si>
    <t>29,05,725</t>
  </si>
  <si>
    <t>9,06,71,60,403.25</t>
  </si>
  <si>
    <t>1,51,256</t>
  </si>
  <si>
    <t>8,97,335</t>
  </si>
  <si>
    <t>2,83,14,87,771.15</t>
  </si>
  <si>
    <t>17,76,511</t>
  </si>
  <si>
    <t>5,52,66,53,927.85</t>
  </si>
  <si>
    <t>17,43,454</t>
  </si>
  <si>
    <t>5,28,15,20,091.15</t>
  </si>
  <si>
    <t>9,87,583</t>
  </si>
  <si>
    <t>3,07,15,15,058.50</t>
  </si>
  <si>
    <t>13,09,703</t>
  </si>
  <si>
    <t>4,10,00,82,235.90</t>
  </si>
  <si>
    <t>13,67,116</t>
  </si>
  <si>
    <t>4,31,59,05,628.80</t>
  </si>
  <si>
    <t>16,07,429</t>
  </si>
  <si>
    <t>5,07,78,13,498.35</t>
  </si>
  <si>
    <t>22,97,441</t>
  </si>
  <si>
    <t>7,20,20,70,990.95</t>
  </si>
  <si>
    <t>15,48,019</t>
  </si>
  <si>
    <t>4,82,56,55,929.40</t>
  </si>
  <si>
    <t>9,13,008</t>
  </si>
  <si>
    <t>2,83,03,30,764.10</t>
  </si>
  <si>
    <t>10,21,918</t>
  </si>
  <si>
    <t>3,14,01,74,328.15</t>
  </si>
  <si>
    <t>8,97,314</t>
  </si>
  <si>
    <t>2,73,38,47,597.00</t>
  </si>
  <si>
    <t>17,87,210</t>
  </si>
  <si>
    <t>5,36,31,10,702.50</t>
  </si>
  <si>
    <t>16,55,401</t>
  </si>
  <si>
    <t>4,85,05,32,175.85</t>
  </si>
  <si>
    <t>8,31,891</t>
  </si>
  <si>
    <t>2,46,22,53,271.00</t>
  </si>
  <si>
    <t>6,98,700</t>
  </si>
  <si>
    <t>2,07,58,70,221.65</t>
  </si>
  <si>
    <t>6,95,162</t>
  </si>
  <si>
    <t>2,08,59,23,615.00</t>
  </si>
  <si>
    <t>8,15,948</t>
  </si>
  <si>
    <t>2,42,68,19,628.05</t>
  </si>
  <si>
    <t>13,14,173</t>
  </si>
  <si>
    <t>3,89,32,61,252.90</t>
  </si>
  <si>
    <t>8,88,628</t>
  </si>
  <si>
    <t>2,62,86,02,980.45</t>
  </si>
  <si>
    <t>8,03,782</t>
  </si>
  <si>
    <t>2,39,18,33,600.30</t>
  </si>
  <si>
    <t>15,23,581</t>
  </si>
  <si>
    <t>4,50,02,53,379.55</t>
  </si>
  <si>
    <t>12,51,165</t>
  </si>
  <si>
    <t>3,74,10,32,752.50</t>
  </si>
  <si>
    <t>7,34,273</t>
  </si>
  <si>
    <t>2,21,44,82,305.45</t>
  </si>
  <si>
    <t>12,12,270</t>
  </si>
  <si>
    <t>3,64,39,70,198.90</t>
  </si>
  <si>
    <t>13,71,577</t>
  </si>
  <si>
    <t>4,16,53,31,937.70</t>
  </si>
  <si>
    <t>18,42,658</t>
  </si>
  <si>
    <t>5,57,45,22,547.20</t>
  </si>
  <si>
    <t>35,09,174</t>
  </si>
  <si>
    <t>10,59,66,22,023.00</t>
  </si>
  <si>
    <t>18,53,966</t>
  </si>
  <si>
    <t>5,57,54,88,281.30</t>
  </si>
  <si>
    <t>1,00,949</t>
  </si>
  <si>
    <t>15,69,652</t>
  </si>
  <si>
    <t>4,77,38,06,258.80</t>
  </si>
  <si>
    <t>13,10,440</t>
  </si>
  <si>
    <t>4,03,43,10,722.25</t>
  </si>
  <si>
    <t>16,32,446</t>
  </si>
  <si>
    <t>5,01,14,31,416.40</t>
  </si>
  <si>
    <t>13,75,224</t>
  </si>
  <si>
    <t>4,24,74,69,323.35</t>
  </si>
  <si>
    <t>13,78,912</t>
  </si>
  <si>
    <t>4,30,60,61,295.45</t>
  </si>
  <si>
    <t>13,79,240</t>
  </si>
  <si>
    <t>4,29,01,66,315.45</t>
  </si>
  <si>
    <t>6,62,263</t>
  </si>
  <si>
    <t>2,04,28,56,651.95</t>
  </si>
  <si>
    <t>5,57,265</t>
  </si>
  <si>
    <t>1,73,53,04,543.20</t>
  </si>
  <si>
    <t>9,70,067</t>
  </si>
  <si>
    <t>2,98,71,71,671.05</t>
  </si>
  <si>
    <t>12,32,383</t>
  </si>
  <si>
    <t>3,76,06,40,089.45</t>
  </si>
  <si>
    <t>21,92,588</t>
  </si>
  <si>
    <t>6,84,26,34,919.75</t>
  </si>
  <si>
    <t>1,03,07,245</t>
  </si>
  <si>
    <t>31,96,41,38,144.90</t>
  </si>
  <si>
    <t>3,68,244</t>
  </si>
  <si>
    <t>7,60,165</t>
  </si>
  <si>
    <t>2,42,74,22,875.50</t>
  </si>
  <si>
    <t>21,39,376</t>
  </si>
  <si>
    <t>6,83,47,51,356.50</t>
  </si>
  <si>
    <t>1,07,274</t>
  </si>
  <si>
    <t>18,68,169</t>
  </si>
  <si>
    <t>5,90,90,30,045.95</t>
  </si>
  <si>
    <t>21,25,201</t>
  </si>
  <si>
    <t>6,60,51,15,019.85</t>
  </si>
  <si>
    <t>1,24,189</t>
  </si>
  <si>
    <t>22,38,921</t>
  </si>
  <si>
    <t>6,85,65,87,918.85</t>
  </si>
  <si>
    <t>1,39,819</t>
  </si>
  <si>
    <t>33,60,209</t>
  </si>
  <si>
    <t>10,66,55,13,275.40</t>
  </si>
  <si>
    <t>1,49,926</t>
  </si>
  <si>
    <t>61,49,883</t>
  </si>
  <si>
    <t>19,75,62,22,591.20</t>
  </si>
  <si>
    <t>2,34,840</t>
  </si>
  <si>
    <t>24,14,005</t>
  </si>
  <si>
    <t>7,65,54,20,169.35</t>
  </si>
  <si>
    <t>1,13,298</t>
  </si>
  <si>
    <t>16,47,048</t>
  </si>
  <si>
    <t>5,14,02,61,264.10</t>
  </si>
  <si>
    <t>10,37,474</t>
  </si>
  <si>
    <t>3,21,39,35,332.10</t>
  </si>
  <si>
    <t>19,42,427</t>
  </si>
  <si>
    <t>5,95,64,90,441.70</t>
  </si>
  <si>
    <t>1,11,808</t>
  </si>
  <si>
    <t>11,05,721</t>
  </si>
  <si>
    <t>3,29,50,71,825.30</t>
  </si>
  <si>
    <t>6,93,702</t>
  </si>
  <si>
    <t>2,06,79,11,056.30</t>
  </si>
  <si>
    <t>14,43,331</t>
  </si>
  <si>
    <t>4,31,54,94,351.30</t>
  </si>
  <si>
    <t>1,03,491</t>
  </si>
  <si>
    <t>6,62,085</t>
  </si>
  <si>
    <t>1,98,80,13,002.45</t>
  </si>
  <si>
    <t>10,26,941</t>
  </si>
  <si>
    <t>3,11,49,56,135.35</t>
  </si>
  <si>
    <t>10,21,653</t>
  </si>
  <si>
    <t>3,15,04,50,900.40</t>
  </si>
  <si>
    <t>9,88,357</t>
  </si>
  <si>
    <t>3,07,96,03,432.30</t>
  </si>
  <si>
    <t>7,24,174</t>
  </si>
  <si>
    <t>2,23,12,95,323.25</t>
  </si>
  <si>
    <t>7,56,036</t>
  </si>
  <si>
    <t>2,32,48,51,552.85</t>
  </si>
  <si>
    <t>8,99,781</t>
  </si>
  <si>
    <t>2,78,73,01,793.45</t>
  </si>
  <si>
    <t>5,86,710</t>
  </si>
  <si>
    <t>1,81,75,56,522.45</t>
  </si>
  <si>
    <t>9,22,403</t>
  </si>
  <si>
    <t>2,88,28,81,547.45</t>
  </si>
  <si>
    <t>11,55,112</t>
  </si>
  <si>
    <t>3,58,59,41,290.20</t>
  </si>
  <si>
    <t>6,63,988</t>
  </si>
  <si>
    <t>2,08,75,49,223.60</t>
  </si>
  <si>
    <t>10,55,391</t>
  </si>
  <si>
    <t>3,33,10,71,411.90</t>
  </si>
  <si>
    <t>11,52,522</t>
  </si>
  <si>
    <t>3,65,41,96,666.50</t>
  </si>
  <si>
    <t>14,90,844</t>
  </si>
  <si>
    <t>4,72,51,65,851.20</t>
  </si>
  <si>
    <t>8,32,170</t>
  </si>
  <si>
    <t>2,64,26,20,638.30</t>
  </si>
  <si>
    <t>9,60,905</t>
  </si>
  <si>
    <t>3,06,02,30,005.50</t>
  </si>
  <si>
    <t>51,14,980</t>
  </si>
  <si>
    <t>16,21,88,11,241.75</t>
  </si>
  <si>
    <t>1,53,131</t>
  </si>
  <si>
    <t>21,42,889</t>
  </si>
  <si>
    <t>6,80,19,83,095.80</t>
  </si>
  <si>
    <t>16,94,962</t>
  </si>
  <si>
    <t>5,38,30,86,693.10</t>
  </si>
  <si>
    <t>32,61,647</t>
  </si>
  <si>
    <t>10,40,97,68,963.35</t>
  </si>
  <si>
    <t>1,07,805</t>
  </si>
  <si>
    <t>46,97,655</t>
  </si>
  <si>
    <t>15,05,72,60,547.20</t>
  </si>
  <si>
    <t>1,60,462</t>
  </si>
  <si>
    <t>13,66,545</t>
  </si>
  <si>
    <t>4,48,09,42,189.50</t>
  </si>
  <si>
    <t>14,19,264</t>
  </si>
  <si>
    <t>4,62,65,99,834.50</t>
  </si>
  <si>
    <t>17,55,612</t>
  </si>
  <si>
    <t>5,81,37,79,346.75</t>
  </si>
  <si>
    <t>1,07,419</t>
  </si>
  <si>
    <t>42,24,855</t>
  </si>
  <si>
    <t>13,74,25,75,345.95</t>
  </si>
  <si>
    <t>32,02,978</t>
  </si>
  <si>
    <t>10,31,71,33,491.70</t>
  </si>
  <si>
    <t>30,22,477</t>
  </si>
  <si>
    <t>9,75,23,55,044.00</t>
  </si>
  <si>
    <t>41,73,692</t>
  </si>
  <si>
    <t>13,50,25,65,941.05</t>
  </si>
  <si>
    <t>1,21,200</t>
  </si>
  <si>
    <t>49,35,698</t>
  </si>
  <si>
    <t>16,03,01,74,654.60</t>
  </si>
  <si>
    <t>1,52,562</t>
  </si>
  <si>
    <t>47,40,455</t>
  </si>
  <si>
    <t>15,20,43,07,672.25</t>
  </si>
  <si>
    <t>1,46,457</t>
  </si>
  <si>
    <t>58,73,271</t>
  </si>
  <si>
    <t>18,71,37,84,941.80</t>
  </si>
  <si>
    <t>2,78,600</t>
  </si>
  <si>
    <t>87,78,345</t>
  </si>
  <si>
    <t>25,96,92,15,655.60</t>
  </si>
  <si>
    <t>6,12,958</t>
  </si>
  <si>
    <t>2,03,06,909</t>
  </si>
  <si>
    <t>63,69,18,14,268.95</t>
  </si>
  <si>
    <t>8,48,267</t>
  </si>
  <si>
    <t>85,11,359</t>
  </si>
  <si>
    <t>31,14,40,98,467.80</t>
  </si>
  <si>
    <t>4,14,787</t>
  </si>
  <si>
    <t>63,84,589</t>
  </si>
  <si>
    <t>21,44,86,93,814.45</t>
  </si>
  <si>
    <t>2,90,001</t>
  </si>
  <si>
    <t>19,90,208</t>
  </si>
  <si>
    <t>6,40,84,54,413.45</t>
  </si>
  <si>
    <t>1,12,565</t>
  </si>
  <si>
    <t>19,10,729</t>
  </si>
  <si>
    <t>6,24,86,51,475.65</t>
  </si>
  <si>
    <t>16,21,168</t>
  </si>
  <si>
    <t>5,32,18,41,029.35</t>
  </si>
  <si>
    <t>25,82,485</t>
  </si>
  <si>
    <t>8,54,13,06,058.00</t>
  </si>
  <si>
    <t>1,40,021</t>
  </si>
  <si>
    <t>34,73,668</t>
  </si>
  <si>
    <t>11,84,29,11,664.85</t>
  </si>
  <si>
    <t>1,79,402</t>
  </si>
  <si>
    <t>69,79,082</t>
  </si>
  <si>
    <t>23,05,07,29,208.95</t>
  </si>
  <si>
    <t>3,27,015</t>
  </si>
  <si>
    <t>33,71,077</t>
  </si>
  <si>
    <t>10,52,14,07,989.95</t>
  </si>
  <si>
    <t>30,91,659</t>
  </si>
  <si>
    <t>9,65,74,85,170.60</t>
  </si>
  <si>
    <t>1,35,865</t>
  </si>
  <si>
    <t>22,77,86,473.25</t>
  </si>
  <si>
    <t>8,25,436</t>
  </si>
  <si>
    <t>2,52,01,25,368.65</t>
  </si>
  <si>
    <t>18,35,312</t>
  </si>
  <si>
    <t>5,54,63,98,277.35</t>
  </si>
  <si>
    <t>1,44,012</t>
  </si>
  <si>
    <t>16,88,836</t>
  </si>
  <si>
    <t>5,19,25,83,624.45</t>
  </si>
  <si>
    <t>57,25,807</t>
  </si>
  <si>
    <t>17,15,36,65,502.90</t>
  </si>
  <si>
    <t>1,96,967</t>
  </si>
  <si>
    <t>37,84,373</t>
  </si>
  <si>
    <t>10,74,48,38,041.40</t>
  </si>
  <si>
    <t>1,15,926</t>
  </si>
  <si>
    <t>23,54,794</t>
  </si>
  <si>
    <t>6,57,33,68,242.40</t>
  </si>
  <si>
    <t>14,85,510</t>
  </si>
  <si>
    <t>4,18,05,48,928.95</t>
  </si>
  <si>
    <t>1,16,557</t>
  </si>
  <si>
    <t>9,51,411</t>
  </si>
  <si>
    <t>2,72,16,50,623.40</t>
  </si>
  <si>
    <t>12,62,311</t>
  </si>
  <si>
    <t>3,60,75,75,910.50</t>
  </si>
  <si>
    <t>23,77,944</t>
  </si>
  <si>
    <t>6,87,31,81,126.10</t>
  </si>
  <si>
    <t>1,26,554</t>
  </si>
  <si>
    <t>14,72,168</t>
  </si>
  <si>
    <t>4,42,69,76,478.70</t>
  </si>
  <si>
    <t>22,19,085</t>
  </si>
  <si>
    <t>6,80,21,49,701.55</t>
  </si>
  <si>
    <t>1,69,345</t>
  </si>
  <si>
    <t>8,04,552</t>
  </si>
  <si>
    <t>2,47,33,12,213.75</t>
  </si>
  <si>
    <t>6,48,544</t>
  </si>
  <si>
    <t>1,99,68,68,646.30</t>
  </si>
  <si>
    <t>6,62,764</t>
  </si>
  <si>
    <t>2,04,80,70,862.50</t>
  </si>
  <si>
    <t>15,15,529</t>
  </si>
  <si>
    <t>4,66,55,50,155.30</t>
  </si>
  <si>
    <t>1,03,832</t>
  </si>
  <si>
    <t>6,05,917</t>
  </si>
  <si>
    <t>1,85,79,95,179.50</t>
  </si>
  <si>
    <t>16,54,272</t>
  </si>
  <si>
    <t>5,07,32,27,670.15</t>
  </si>
  <si>
    <t>9,93,929</t>
  </si>
  <si>
    <t>3,03,17,26,638.60</t>
  </si>
  <si>
    <t>17,27,317</t>
  </si>
  <si>
    <t>5,21,74,64,090.25</t>
  </si>
  <si>
    <t>17,03,646</t>
  </si>
  <si>
    <t>5,27,32,14,333.20</t>
  </si>
  <si>
    <t>1,06,820</t>
  </si>
  <si>
    <t>11,34,184</t>
  </si>
  <si>
    <t>3,53,80,30,814.20</t>
  </si>
  <si>
    <t>10,35,378</t>
  </si>
  <si>
    <t>3,25,46,71,241.05</t>
  </si>
  <si>
    <t>7,05,173</t>
  </si>
  <si>
    <t>2,27,13,68,817.95</t>
  </si>
  <si>
    <t>14,41,138</t>
  </si>
  <si>
    <t>4,65,69,32,148.25</t>
  </si>
  <si>
    <t>2,67,96,74,649.95</t>
  </si>
  <si>
    <t>5,77,440</t>
  </si>
  <si>
    <t>1,85,75,68,319.50</t>
  </si>
  <si>
    <t>7,55,607</t>
  </si>
  <si>
    <t>2,42,95,32,121.50</t>
  </si>
  <si>
    <t>14,03,826</t>
  </si>
  <si>
    <t>4,54,07,71,025.65</t>
  </si>
  <si>
    <t>11,53,109</t>
  </si>
  <si>
    <t>3,73,46,40,011.85</t>
  </si>
  <si>
    <t>8,68,829</t>
  </si>
  <si>
    <t>2,83,21,69,851.80</t>
  </si>
  <si>
    <t>12,92,646</t>
  </si>
  <si>
    <t>4,19,77,48,362.70</t>
  </si>
  <si>
    <t>23,27,053</t>
  </si>
  <si>
    <t>7,39,70,54,019.95</t>
  </si>
  <si>
    <t>1,41,506</t>
  </si>
  <si>
    <t>9,00,231</t>
  </si>
  <si>
    <t>2,81,12,59,467.70</t>
  </si>
  <si>
    <t>9,37,103</t>
  </si>
  <si>
    <t>2,93,33,89,321.75</t>
  </si>
  <si>
    <t>9,51,557</t>
  </si>
  <si>
    <t>2,94,51,44,032.25</t>
  </si>
  <si>
    <t>11,75,751</t>
  </si>
  <si>
    <t>3,62,19,07,779.40</t>
  </si>
  <si>
    <t>9,66,481</t>
  </si>
  <si>
    <t>2,94,44,32,546.60</t>
  </si>
  <si>
    <t>14,60,452</t>
  </si>
  <si>
    <t>4,51,83,20,848.55</t>
  </si>
  <si>
    <t>30,42,515</t>
  </si>
  <si>
    <t>9,29,00,11,236.80</t>
  </si>
  <si>
    <t>1,59,589</t>
  </si>
  <si>
    <t>21,99,094</t>
  </si>
  <si>
    <t>6,83,56,27,396.35</t>
  </si>
  <si>
    <t>1,20,251</t>
  </si>
  <si>
    <t>37,59,100</t>
  </si>
  <si>
    <t>11,40,37,63,726.10</t>
  </si>
  <si>
    <t>2,46,625</t>
  </si>
  <si>
    <t>34,07,040</t>
  </si>
  <si>
    <t>10,05,22,56,475.10</t>
  </si>
  <si>
    <t>2,37,808</t>
  </si>
  <si>
    <t>11,99,487</t>
  </si>
  <si>
    <t>3,78,59,08,989.05</t>
  </si>
  <si>
    <t>7,38,851</t>
  </si>
  <si>
    <t>2,38,61,51,544.55</t>
  </si>
  <si>
    <t>8,56,328</t>
  </si>
  <si>
    <t>2,77,47,47,690.85</t>
  </si>
  <si>
    <t>19,35,203</t>
  </si>
  <si>
    <t>6,24,44,61,431.90</t>
  </si>
  <si>
    <t>1,11,432</t>
  </si>
  <si>
    <t>11,90,416</t>
  </si>
  <si>
    <t>3,94,52,24,169.30</t>
  </si>
  <si>
    <t>10,61,244</t>
  </si>
  <si>
    <t>3,52,90,12,588.20</t>
  </si>
  <si>
    <t>1,19,511</t>
  </si>
  <si>
    <t>39,83,43,988.75</t>
  </si>
  <si>
    <t>11,61,067</t>
  </si>
  <si>
    <t>3,84,80,76,358.25</t>
  </si>
  <si>
    <t>13,52,988</t>
  </si>
  <si>
    <t>4,41,08,31,106.00</t>
  </si>
  <si>
    <t>13,58,879</t>
  </si>
  <si>
    <t>4,41,93,38,030.60</t>
  </si>
  <si>
    <t>11,25,570</t>
  </si>
  <si>
    <t>3,72,11,77,336.10</t>
  </si>
  <si>
    <t>16,95,378</t>
  </si>
  <si>
    <t>5,62,57,07,089.65</t>
  </si>
  <si>
    <t>1,04,868</t>
  </si>
  <si>
    <t>19,75,035</t>
  </si>
  <si>
    <t>6,48,18,55,202.20</t>
  </si>
  <si>
    <t>11,38,722</t>
  </si>
  <si>
    <t>3,68,56,76,235.05</t>
  </si>
  <si>
    <t>16,57,021</t>
  </si>
  <si>
    <t>5,39,85,71,886.00</t>
  </si>
  <si>
    <t>1,05,900</t>
  </si>
  <si>
    <t>14,67,630</t>
  </si>
  <si>
    <t>4,75,25,17,820.15</t>
  </si>
  <si>
    <t>17,79,444</t>
  </si>
  <si>
    <t>5,82,91,41,012.10</t>
  </si>
  <si>
    <t>21,93,673</t>
  </si>
  <si>
    <t>7,06,71,00,536.90</t>
  </si>
  <si>
    <t>20,35,204</t>
  </si>
  <si>
    <t>6,54,24,84,814.65</t>
  </si>
  <si>
    <t>17,41,264</t>
  </si>
  <si>
    <t>5,59,41,82,379.70</t>
  </si>
  <si>
    <t>1,01,676</t>
  </si>
  <si>
    <t>12,25,207</t>
  </si>
  <si>
    <t>3,85,07,09,760.90</t>
  </si>
  <si>
    <t>10,83,138</t>
  </si>
  <si>
    <t>3,45,88,03,688.00</t>
  </si>
  <si>
    <t>15,72,789</t>
  </si>
  <si>
    <t>5,00,50,53,690.50</t>
  </si>
  <si>
    <t>16,79,004</t>
  </si>
  <si>
    <t>5,35,02,39,514.35</t>
  </si>
  <si>
    <t>1,26,898</t>
  </si>
  <si>
    <t>20,95,911</t>
  </si>
  <si>
    <t>6,79,60,02,063.65</t>
  </si>
  <si>
    <t>1,22,378</t>
  </si>
  <si>
    <t>20,78,891</t>
  </si>
  <si>
    <t>6,64,79,05,451.95</t>
  </si>
  <si>
    <t>1,48,672</t>
  </si>
  <si>
    <t>21,91,195</t>
  </si>
  <si>
    <t>6,99,60,49,793.70</t>
  </si>
  <si>
    <t>1,32,489</t>
  </si>
  <si>
    <t>27,08,695</t>
  </si>
  <si>
    <t>8,59,52,21,638.95</t>
  </si>
  <si>
    <t>1,23,968</t>
  </si>
  <si>
    <t>46,86,595</t>
  </si>
  <si>
    <t>14,82,20,76,397.20</t>
  </si>
  <si>
    <t>2,11,723</t>
  </si>
  <si>
    <t>26,71,051</t>
  </si>
  <si>
    <t>8,32,55,10,841.40</t>
  </si>
  <si>
    <t>1,15,716</t>
  </si>
  <si>
    <t>31,15,506</t>
  </si>
  <si>
    <t>9,62,82,39,019.20</t>
  </si>
  <si>
    <t>1,52,019</t>
  </si>
  <si>
    <t>44,02,976</t>
  </si>
  <si>
    <t>13,40,38,37,889.00</t>
  </si>
  <si>
    <t>2,76,784</t>
  </si>
  <si>
    <t>26,01,969</t>
  </si>
  <si>
    <t>7,44,19,88,265.30</t>
  </si>
  <si>
    <t>1,35,262</t>
  </si>
  <si>
    <t>58,07,940</t>
  </si>
  <si>
    <t>16,79,44,41,913.65</t>
  </si>
  <si>
    <t>1,60,772</t>
  </si>
  <si>
    <t>18,27,002</t>
  </si>
  <si>
    <t>5,38,21,24,760.65</t>
  </si>
  <si>
    <t>1,01,673</t>
  </si>
  <si>
    <t>18,78,793</t>
  </si>
  <si>
    <t>5,52,27,30,668.25</t>
  </si>
  <si>
    <t>20,14,096</t>
  </si>
  <si>
    <t>5,89,39,78,244.30</t>
  </si>
  <si>
    <t>25,52,342</t>
  </si>
  <si>
    <t>7,46,11,40,978.65</t>
  </si>
  <si>
    <t>1,37,932</t>
  </si>
  <si>
    <t>28,97,218</t>
  </si>
  <si>
    <t>8,67,62,48,061.65</t>
  </si>
  <si>
    <t>1,16,205</t>
  </si>
  <si>
    <t>25,15,564</t>
  </si>
  <si>
    <t>7,71,42,32,714.00</t>
  </si>
  <si>
    <t>14,07,007</t>
  </si>
  <si>
    <t>4,35,53,39,346.30</t>
  </si>
  <si>
    <t>17,95,933</t>
  </si>
  <si>
    <t>5,56,75,09,144.40</t>
  </si>
  <si>
    <t>20,08,103</t>
  </si>
  <si>
    <t>6,20,34,81,301.70</t>
  </si>
  <si>
    <t>35,90,297</t>
  </si>
  <si>
    <t>11,05,00,48,556.25</t>
  </si>
  <si>
    <t>1,46,816</t>
  </si>
  <si>
    <t>28,85,706</t>
  </si>
  <si>
    <t>8,74,26,14,470.70</t>
  </si>
  <si>
    <t>1,24,090</t>
  </si>
  <si>
    <t>18,49,061</t>
  </si>
  <si>
    <t>5,53,01,00,075.95</t>
  </si>
  <si>
    <t>32,19,949</t>
  </si>
  <si>
    <t>9,74,38,25,898.60</t>
  </si>
  <si>
    <t>1,25,926</t>
  </si>
  <si>
    <t>29,75,620</t>
  </si>
  <si>
    <t>8,96,12,46,158.70</t>
  </si>
  <si>
    <t>1,22,929</t>
  </si>
  <si>
    <t>1,97,25,411</t>
  </si>
  <si>
    <t>60,37,08,40,646.55</t>
  </si>
  <si>
    <t>7,62,896</t>
  </si>
  <si>
    <t>26,71,368</t>
  </si>
  <si>
    <t>7,75,75,72,526.85</t>
  </si>
  <si>
    <t>1,16,025</t>
  </si>
  <si>
    <t>28,98,619</t>
  </si>
  <si>
    <t>8,44,81,46,788.55</t>
  </si>
  <si>
    <t>1,16,403</t>
  </si>
  <si>
    <t>15,07,086</t>
  </si>
  <si>
    <t>4,27,76,89,534.20</t>
  </si>
  <si>
    <t>41,02,912</t>
  </si>
  <si>
    <t>11,56,40,85,525.15</t>
  </si>
  <si>
    <t>1,08,070</t>
  </si>
  <si>
    <t>16,98,325</t>
  </si>
  <si>
    <t>4,84,74,07,216.00</t>
  </si>
  <si>
    <t>20,48,484</t>
  </si>
  <si>
    <t>5,85,77,41,774.50</t>
  </si>
  <si>
    <t>1,24,764</t>
  </si>
  <si>
    <t>15,13,956</t>
  </si>
  <si>
    <t>4,26,87,77,915.65</t>
  </si>
  <si>
    <t>26,78,577</t>
  </si>
  <si>
    <t>7,46,90,27,877.10</t>
  </si>
  <si>
    <t>1,39,231</t>
  </si>
  <si>
    <t>34,17,739</t>
  </si>
  <si>
    <t>9,80,91,37,609.45</t>
  </si>
  <si>
    <t>1,71,337</t>
  </si>
  <si>
    <t>17,41,493</t>
  </si>
  <si>
    <t>5,13,80,37,764.30</t>
  </si>
  <si>
    <t>23,15,922</t>
  </si>
  <si>
    <t>6,93,17,28,099.20</t>
  </si>
  <si>
    <t>1,00,133</t>
  </si>
  <si>
    <t>49,21,484</t>
  </si>
  <si>
    <t>14,58,04,86,604.40</t>
  </si>
  <si>
    <t>1,80,486</t>
  </si>
  <si>
    <t>32,24,681</t>
  </si>
  <si>
    <t>9,37,95,61,819.45</t>
  </si>
  <si>
    <t>1,40,194</t>
  </si>
  <si>
    <t>28,05,832</t>
  </si>
  <si>
    <t>8,00,99,40,320.70</t>
  </si>
  <si>
    <t>1,18,936</t>
  </si>
  <si>
    <t>20,17,772</t>
  </si>
  <si>
    <t>5,78,00,40,717.60</t>
  </si>
  <si>
    <t>50,64,123</t>
  </si>
  <si>
    <t>14,52,35,04,974.75</t>
  </si>
  <si>
    <t>2,02,891</t>
  </si>
  <si>
    <t>69,59,428</t>
  </si>
  <si>
    <t>19,75,91,55,358.90</t>
  </si>
  <si>
    <t>2,89,285</t>
  </si>
  <si>
    <t>63,25,887</t>
  </si>
  <si>
    <t>18,33,61,99,561.95</t>
  </si>
  <si>
    <t>2,65,235</t>
  </si>
  <si>
    <t>1,93,55,777</t>
  </si>
  <si>
    <t>57,82,54,83,120.90</t>
  </si>
  <si>
    <t>7,80,601</t>
  </si>
  <si>
    <t>2,28,79,079</t>
  </si>
  <si>
    <t>64,15,64,47,743.80</t>
  </si>
  <si>
    <t>7,53,504</t>
  </si>
  <si>
    <t>56,81,516</t>
  </si>
  <si>
    <t>14,37,30,87,646.70</t>
  </si>
  <si>
    <t>2,26,984</t>
  </si>
  <si>
    <t>17,92,983</t>
  </si>
  <si>
    <t>4,25,36,34,730.25</t>
  </si>
  <si>
    <t>29,83,879</t>
  </si>
  <si>
    <t>7,04,70,04,275.90</t>
  </si>
  <si>
    <t>1,28,913</t>
  </si>
  <si>
    <t>45,61,574</t>
  </si>
  <si>
    <t>11,08,45,79,616.15</t>
  </si>
  <si>
    <t>1,76,974</t>
  </si>
  <si>
    <t>1,19,72,275</t>
  </si>
  <si>
    <t>28,92,64,20,088.25</t>
  </si>
  <si>
    <t>4,29,582</t>
  </si>
  <si>
    <t>19,46,259</t>
  </si>
  <si>
    <t>4,29,35,26,664.30</t>
  </si>
  <si>
    <t>7,29,114</t>
  </si>
  <si>
    <t>1,58,71,69,763.60</t>
  </si>
  <si>
    <t>12,47,205</t>
  </si>
  <si>
    <t>2,71,32,31,089.50</t>
  </si>
  <si>
    <t>18,39,502</t>
  </si>
  <si>
    <t>4,05,99,15,039.85</t>
  </si>
  <si>
    <t>15,77,213</t>
  </si>
  <si>
    <t>3,42,83,83,501.50</t>
  </si>
  <si>
    <t>9,16,518</t>
  </si>
  <si>
    <t>2,03,12,96,887.95</t>
  </si>
  <si>
    <t>13,07,584</t>
  </si>
  <si>
    <t>2,89,16,20,666.80</t>
  </si>
  <si>
    <t>6,96,475</t>
  </si>
  <si>
    <t>1,55,20,18,196.90</t>
  </si>
  <si>
    <t>8,53,633</t>
  </si>
  <si>
    <t>1,88,88,85,758.90</t>
  </si>
  <si>
    <t>1,48,320</t>
  </si>
  <si>
    <t>32,86,62,055.15</t>
  </si>
  <si>
    <t>10,72,597</t>
  </si>
  <si>
    <t>2,37,53,24,609.65</t>
  </si>
  <si>
    <t>12,67,890</t>
  </si>
  <si>
    <t>2,82,91,38,782.25</t>
  </si>
  <si>
    <t>11,69,180</t>
  </si>
  <si>
    <t>2,64,68,35,537.10</t>
  </si>
  <si>
    <t>6,41,554</t>
  </si>
  <si>
    <t>1,43,75,23,748.70</t>
  </si>
  <si>
    <t>7,70,061</t>
  </si>
  <si>
    <t>1,72,86,92,251.50</t>
  </si>
  <si>
    <t>18,53,300</t>
  </si>
  <si>
    <t>4,15,93,08,564.50</t>
  </si>
  <si>
    <t>23,40,997</t>
  </si>
  <si>
    <t>5,26,03,84,045.65</t>
  </si>
  <si>
    <t>1,27,122</t>
  </si>
  <si>
    <t>16,66,579</t>
  </si>
  <si>
    <t>3,75,54,05,086.00</t>
  </si>
  <si>
    <t>11,55,280</t>
  </si>
  <si>
    <t>2,65,10,95,271.00</t>
  </si>
  <si>
    <t>9,96,448</t>
  </si>
  <si>
    <t>2,27,83,04,897.95</t>
  </si>
  <si>
    <t>12,44,293</t>
  </si>
  <si>
    <t>2,79,52,95,146.10</t>
  </si>
  <si>
    <t>22,26,073</t>
  </si>
  <si>
    <t>4,90,32,12,151.45</t>
  </si>
  <si>
    <t>1,28,777</t>
  </si>
  <si>
    <t>15,40,819</t>
  </si>
  <si>
    <t>3,52,43,52,117.45</t>
  </si>
  <si>
    <t>14,83,549</t>
  </si>
  <si>
    <t>3,47,12,63,391.90</t>
  </si>
  <si>
    <t>12,40,350</t>
  </si>
  <si>
    <t>2,98,11,29,985.50</t>
  </si>
  <si>
    <t>11,68,822</t>
  </si>
  <si>
    <t>2,80,40,03,202.10</t>
  </si>
  <si>
    <t>7,76,977</t>
  </si>
  <si>
    <t>1,87,80,93,951.25</t>
  </si>
  <si>
    <t>7,07,543</t>
  </si>
  <si>
    <t>1,72,72,46,807.20</t>
  </si>
  <si>
    <t>8,03,856</t>
  </si>
  <si>
    <t>1,96,74,21,016.75</t>
  </si>
  <si>
    <t>22,78,682</t>
  </si>
  <si>
    <t>5,57,48,23,517.40</t>
  </si>
  <si>
    <t>18,04,818</t>
  </si>
  <si>
    <t>4,52,37,60,184.35</t>
  </si>
  <si>
    <t>16,27,836</t>
  </si>
  <si>
    <t>4,09,02,32,724.05</t>
  </si>
  <si>
    <t>17,71,910</t>
  </si>
  <si>
    <t>4,41,60,49,471.85</t>
  </si>
  <si>
    <t>14,08,224</t>
  </si>
  <si>
    <t>3,42,90,85,601.55</t>
  </si>
  <si>
    <t>15,10,035</t>
  </si>
  <si>
    <t>3,76,17,55,870.30</t>
  </si>
  <si>
    <t>11,32,455</t>
  </si>
  <si>
    <t>2,79,05,08,599.50</t>
  </si>
  <si>
    <t>28,57,377</t>
  </si>
  <si>
    <t>7,00,61,50,132.10</t>
  </si>
  <si>
    <t>1,24,922</t>
  </si>
  <si>
    <t>20,19,899</t>
  </si>
  <si>
    <t>4,83,83,55,244.70</t>
  </si>
  <si>
    <t>16,89,201</t>
  </si>
  <si>
    <t>4,10,51,65,312.70</t>
  </si>
  <si>
    <t>22,25,560</t>
  </si>
  <si>
    <t>5,51,62,52,181.95</t>
  </si>
  <si>
    <t>10,77,373</t>
  </si>
  <si>
    <t>2,66,67,89,719.35</t>
  </si>
  <si>
    <t>6,98,863</t>
  </si>
  <si>
    <t>1,72,93,10,964.40</t>
  </si>
  <si>
    <t>12,16,898</t>
  </si>
  <si>
    <t>2,99,39,92,416.55</t>
  </si>
  <si>
    <t>8,65,589</t>
  </si>
  <si>
    <t>2,14,15,28,315.00</t>
  </si>
  <si>
    <t>12,79,908</t>
  </si>
  <si>
    <t>3,17,72,48,552.25</t>
  </si>
  <si>
    <t>12,03,019</t>
  </si>
  <si>
    <t>2,99,44,74,438.95</t>
  </si>
  <si>
    <t>8,61,677</t>
  </si>
  <si>
    <t>2,17,26,82,220.55</t>
  </si>
  <si>
    <t>15,47,001</t>
  </si>
  <si>
    <t>3,92,81,38,873.75</t>
  </si>
  <si>
    <t>12,18,481</t>
  </si>
  <si>
    <t>3,07,55,05,237.20</t>
  </si>
  <si>
    <t>17,80,068</t>
  </si>
  <si>
    <t>4,50,09,35,940.00</t>
  </si>
  <si>
    <t>56,58,774</t>
  </si>
  <si>
    <t>14,46,11,29,168.90</t>
  </si>
  <si>
    <t>1,47,400</t>
  </si>
  <si>
    <t>91,48,241</t>
  </si>
  <si>
    <t>23,61,27,71,041.40</t>
  </si>
  <si>
    <t>1,81,137</t>
  </si>
  <si>
    <t>56,40,973</t>
  </si>
  <si>
    <t>14,25,18,47,311.05</t>
  </si>
  <si>
    <t>42,98,988</t>
  </si>
  <si>
    <t>10,77,32,83,012.10</t>
  </si>
  <si>
    <t>74,16,248</t>
  </si>
  <si>
    <t>18,49,41,82,978.55</t>
  </si>
  <si>
    <t>1,29,014</t>
  </si>
  <si>
    <t>64,89,319</t>
  </si>
  <si>
    <t>16,14,66,83,103.20</t>
  </si>
  <si>
    <t>1,24,950</t>
  </si>
  <si>
    <t>59,98,454</t>
  </si>
  <si>
    <t>14,81,94,12,140.30</t>
  </si>
  <si>
    <t>1,04,932</t>
  </si>
  <si>
    <t>Daily_Change_Pct</t>
  </si>
  <si>
    <t>High_Low_Spread</t>
  </si>
  <si>
    <t>Vol_Per_Trade</t>
  </si>
  <si>
    <t>Dist_From_52WH</t>
  </si>
  <si>
    <t>Row Labels</t>
  </si>
  <si>
    <t>Grand Total</t>
  </si>
  <si>
    <t>2023</t>
  </si>
  <si>
    <t>2024</t>
  </si>
  <si>
    <t>2025</t>
  </si>
  <si>
    <t>Sum of Vol_Per_Trade</t>
  </si>
  <si>
    <t>Sum of Daily_Change_Pct</t>
  </si>
  <si>
    <t xml:space="preserve">Sum of close </t>
  </si>
  <si>
    <t xml:space="preserve">Sum of 52W 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</si>
</sst>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indexed="8"/>
      <name val="Calibri"/>
      <charset val="134"/>
    </font>
    <font>
      <b/>
      <sz val="11"/>
      <color theme="7"/>
      <name val="Calibri"/>
      <family val="2"/>
    </font>
    <font>
      <sz val="9"/>
      <color rgb="FF0F1115"/>
      <name val="Segoe UI"/>
      <family val="2"/>
    </font>
    <font>
      <sz val="8"/>
      <color rgb="FF0F1115"/>
      <name val="Cascadia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15" fontId="1" fillId="0" borderId="0" xfId="0" applyNumberFormat="1" applyFont="1" applyAlignment="1">
      <alignment vertical="center"/>
    </xf>
    <xf numFmtId="4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horizontal="left" vertical="center" indent="1"/>
    </xf>
    <xf numFmtId="4" fontId="4" fillId="0" borderId="0" xfId="0" applyNumberFormat="1" applyFont="1" applyAlignment="1">
      <alignment horizontal="left" vertical="center" inden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[YourStockData_BACKUP.xlsx]Sheet2!PivotTable1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Sum of close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Sheet2!$A$2:$A$5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Sheet2!$B$2:$B$5</c:f>
              <c:numCache>
                <c:formatCode>#,##0.00</c:formatCode>
                <c:ptCount val="3"/>
                <c:pt idx="0">
                  <c:v>198907.55000000002</c:v>
                </c:pt>
                <c:pt idx="1">
                  <c:v>750728.64999999979</c:v>
                </c:pt>
                <c:pt idx="2">
                  <c:v>467002.05000000028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041-431C-B87B-215E805998E2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Sum of Vol_Per_Trade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Sheet2!$A$2:$A$5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Sheet2!$C$2:$C$5</c:f>
              <c:numCache>
                <c:formatCode>General</c:formatCode>
                <c:ptCount val="3"/>
                <c:pt idx="0">
                  <c:v>1991.6151489505316</c:v>
                </c:pt>
                <c:pt idx="1">
                  <c:v>4868.1614618725807</c:v>
                </c:pt>
                <c:pt idx="2">
                  <c:v>3543.8163826511136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041-431C-B87B-215E805998E2}"/>
            </c:ext>
          </c:extLst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Sum of Daily_Change_Pct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Sheet2!$A$2:$A$5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Sheet2!$D$2:$D$5</c:f>
              <c:numCache>
                <c:formatCode>General</c:formatCode>
                <c:ptCount val="3"/>
                <c:pt idx="0">
                  <c:v>18.020006835287624</c:v>
                </c:pt>
                <c:pt idx="1">
                  <c:v>-1.3724133042227011</c:v>
                </c:pt>
                <c:pt idx="2">
                  <c:v>4.8377467567366166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A041-431C-B87B-215E80599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2274639"/>
        <c:axId val="542276079"/>
      </c:barChart>
      <c:catAx>
        <c:axId val="542274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276079"/>
        <c:crosses val="autoZero"/>
        <c:auto val="1"/>
        <c:lblAlgn val="ctr"/>
        <c:lblOffset val="100"/>
        <c:noMultiLvlLbl val="0"/>
      </c:catAx>
      <c:valAx>
        <c:axId val="54227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274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[YourStockData_BACKUP.xlsx]Sheet3!PivotTable2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185870516185478"/>
          <c:y val="0.13786818314377369"/>
          <c:w val="0.47556583552055992"/>
          <c:h val="0.750473170020414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Sheet3!$A$1</c:f>
              <c:strCache>
                <c:ptCount val="1"/>
                <c:pt idx="0">
                  <c:v>Sum of 52W H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Sheet3!$A$2</c:f>
              <c:numCache>
                <c:formatCode>#,##0.00</c:formatCode>
                <c:ptCount val="1"/>
                <c:pt idx="0">
                  <c:v>1915270.2999999872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27-4F1B-A84B-F440A1E10EFA}"/>
            </c:ext>
          </c:extLst>
        </c:ser>
        <c:ser>
          <c:idx val="1"/>
          <c:order val="1"/>
          <c:tx>
            <c:strRef>
              <c:f>Sheet3!$B$1</c:f>
              <c:strCache>
                <c:ptCount val="1"/>
                <c:pt idx="0">
                  <c:v>Sum of Daily_Change_Pct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Sheet3!$B$2</c:f>
              <c:numCache>
                <c:formatCode>General</c:formatCode>
                <c:ptCount val="1"/>
                <c:pt idx="0">
                  <c:v>21.485340287801552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27-4F1B-A84B-F440A1E10E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0297839"/>
        <c:axId val="740296399"/>
      </c:barChart>
      <c:catAx>
        <c:axId val="740297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296399"/>
        <c:crosses val="autoZero"/>
        <c:auto val="1"/>
        <c:lblAlgn val="ctr"/>
        <c:lblOffset val="100"/>
        <c:noMultiLvlLbl val="0"/>
      </c:catAx>
      <c:valAx>
        <c:axId val="74029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297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[YourStockData_BACKUP.xlsx]Sheet3!PivotTable2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185870516185478"/>
          <c:y val="0.13786818314377369"/>
          <c:w val="0.47556583552055992"/>
          <c:h val="0.750473170020414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Sheet3!$A$1</c:f>
              <c:strCache>
                <c:ptCount val="1"/>
                <c:pt idx="0">
                  <c:v>Sum of 52W H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Sheet3!$A$2</c:f>
              <c:numCache>
                <c:formatCode>#,##0.00</c:formatCode>
                <c:ptCount val="1"/>
                <c:pt idx="0">
                  <c:v>1915270.2999999872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73-4D37-804C-1F8845B66C1E}"/>
            </c:ext>
          </c:extLst>
        </c:ser>
        <c:ser>
          <c:idx val="1"/>
          <c:order val="1"/>
          <c:tx>
            <c:strRef>
              <c:f>Sheet3!$B$1</c:f>
              <c:strCache>
                <c:ptCount val="1"/>
                <c:pt idx="0">
                  <c:v>Sum of Daily_Change_Pct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Sheet3!$B$2</c:f>
              <c:numCache>
                <c:formatCode>General</c:formatCode>
                <c:ptCount val="1"/>
                <c:pt idx="0">
                  <c:v>21.485340287801552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73-4D37-804C-1F8845B66C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0297839"/>
        <c:axId val="740296399"/>
      </c:barChart>
      <c:catAx>
        <c:axId val="740297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296399"/>
        <c:crosses val="autoZero"/>
        <c:auto val="1"/>
        <c:lblAlgn val="ctr"/>
        <c:lblOffset val="100"/>
        <c:noMultiLvlLbl val="0"/>
      </c:catAx>
      <c:valAx>
        <c:axId val="74029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297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[YourStockData_BACKUP.xlsx]Sheet2!PivotTable1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Sum of close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Sheet2!$A$2:$A$5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Sheet2!$B$2:$B$5</c:f>
              <c:numCache>
                <c:formatCode>#,##0.00</c:formatCode>
                <c:ptCount val="3"/>
                <c:pt idx="0">
                  <c:v>198907.55000000002</c:v>
                </c:pt>
                <c:pt idx="1">
                  <c:v>750728.64999999979</c:v>
                </c:pt>
                <c:pt idx="2">
                  <c:v>467002.05000000028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4C-4750-B0A8-47FCC26E9B19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Sum of Vol_Per_Trade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Sheet2!$A$2:$A$5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Sheet2!$C$2:$C$5</c:f>
              <c:numCache>
                <c:formatCode>General</c:formatCode>
                <c:ptCount val="3"/>
                <c:pt idx="0">
                  <c:v>1991.6151489505316</c:v>
                </c:pt>
                <c:pt idx="1">
                  <c:v>4868.1614618725807</c:v>
                </c:pt>
                <c:pt idx="2">
                  <c:v>3543.8163826511136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4C-4750-B0A8-47FCC26E9B19}"/>
            </c:ext>
          </c:extLst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Sum of Daily_Change_Pct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Sheet2!$A$2:$A$5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Sheet2!$D$2:$D$5</c:f>
              <c:numCache>
                <c:formatCode>General</c:formatCode>
                <c:ptCount val="3"/>
                <c:pt idx="0">
                  <c:v>18.020006835287624</c:v>
                </c:pt>
                <c:pt idx="1">
                  <c:v>-1.3724133042227011</c:v>
                </c:pt>
                <c:pt idx="2">
                  <c:v>4.8377467567366166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4C-4750-B0A8-47FCC26E9B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2274639"/>
        <c:axId val="542276079"/>
      </c:barChart>
      <c:catAx>
        <c:axId val="542274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276079"/>
        <c:crosses val="autoZero"/>
        <c:auto val="1"/>
        <c:lblAlgn val="ctr"/>
        <c:lblOffset val="100"/>
        <c:noMultiLvlLbl val="0"/>
      </c:catAx>
      <c:valAx>
        <c:axId val="54227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274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488951</xdr:colOff>
      <xdr:row>6</xdr:row>
      <xdr:rowOff>38595</xdr:rowOff>
    </xdr:from>
    <xdr:to>
      <xdr:col>7</xdr:col>
      <xdr:colOff>443347</xdr:colOff>
      <xdr:row>36</xdr:row>
      <xdr:rowOff>27710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42EB61-DEF3-FF9B-1D9E-A73200DAD8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2</xdr:row>
      <xdr:rowOff>175260</xdr:rowOff>
    </xdr:from>
    <xdr:to>
      <xdr:col>5</xdr:col>
      <xdr:colOff>388620</xdr:colOff>
      <xdr:row>18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C3C981-6247-CC17-CDE8-A7DE588446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2</xdr:row>
      <xdr:rowOff>0</xdr:rowOff>
    </xdr:from>
    <xdr:to>
      <xdr:col>26</xdr:col>
      <xdr:colOff>304800</xdr:colOff>
      <xdr:row>17</xdr:row>
      <xdr:rowOff>72043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C73495-B2EA-4FD0-A0F8-218643BB49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0</xdr:colOff>
      <xdr:row>19</xdr:row>
      <xdr:rowOff>0</xdr:rowOff>
    </xdr:from>
    <xdr:to>
      <xdr:col>26</xdr:col>
      <xdr:colOff>374073</xdr:colOff>
      <xdr:row>35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F78EDA-D023-4D36-B2C7-208C6522A4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jay ramesh" refreshedDate="45942.426507870368" createdVersion="8" refreshedVersion="8" minRefreshableVersion="3" recordCount="523" xr:uid="{2C1D93DB-4D6C-4332-AD69-7D7EFA293F7E}">
  <cacheSource type="worksheet">
    <worksheetSource ref="A1:R524" sheet="Sheet1"/>
  </cacheSource>
  <cacheFields count="21">
    <cacheField name="Date " numFmtId="15">
      <sharedItems containsSemiMixedTypes="0" containsNonDate="0" containsDate="1" containsString="0" minDate="2023-09-04T00:00:00" maxDate="2025-10-11T00:00:00" count="523">
        <d v="2023-09-04T00:00:00"/>
        <d v="2023-09-05T00:00:00"/>
        <d v="2023-09-06T00:00:00"/>
        <d v="2023-09-07T00:00:00"/>
        <d v="2023-09-08T00:00:00"/>
        <d v="2023-09-11T00:00:00"/>
        <d v="2023-09-12T00:00:00"/>
        <d v="2023-09-13T00:00:00"/>
        <d v="2023-09-14T00:00:00"/>
        <d v="2023-09-15T00:00:00"/>
        <d v="2023-09-18T00:00:00"/>
        <d v="2023-09-20T00:00:00"/>
        <d v="2023-09-21T00:00:00"/>
        <d v="2023-09-22T00:00:00"/>
        <d v="2023-09-25T00:00:00"/>
        <d v="2023-09-26T00:00:00"/>
        <d v="2023-09-27T00:00:00"/>
        <d v="2023-09-28T00:00:00"/>
        <d v="2023-09-29T00:00:00"/>
        <d v="2023-10-03T00:00:00"/>
        <d v="2023-10-04T00:00:00"/>
        <d v="2023-10-05T00:00:00"/>
        <d v="2023-10-06T00:00:00"/>
        <d v="2023-10-09T00:00:00"/>
        <d v="2023-10-10T00:00:00"/>
        <d v="2023-10-11T00:00:00"/>
        <d v="2023-10-12T00:00:00"/>
        <d v="2023-10-13T00:00:00"/>
        <d v="2023-10-16T00:00:00"/>
        <d v="2023-10-17T00:00:00"/>
        <d v="2023-10-18T00:00:00"/>
        <d v="2023-10-19T00:00:00"/>
        <d v="2023-10-20T00:00:00"/>
        <d v="2023-10-23T00:00:00"/>
        <d v="2023-10-25T00:00:00"/>
        <d v="2023-10-26T00:00:00"/>
        <d v="2023-10-27T00:00:00"/>
        <d v="2023-10-30T00:00:00"/>
        <d v="2023-10-31T00:00:00"/>
        <d v="2023-11-01T00:00:00"/>
        <d v="2023-11-02T00:00:00"/>
        <d v="2023-11-03T00:00:00"/>
        <d v="2023-11-06T00:00:00"/>
        <d v="2023-11-07T00:00:00"/>
        <d v="2023-11-08T00:00:00"/>
        <d v="2023-11-09T00:00:00"/>
        <d v="2023-11-10T00:00:00"/>
        <d v="2023-11-12T00:00:00"/>
        <d v="2023-11-13T00:00:00"/>
        <d v="2023-11-15T00:00:00"/>
        <d v="2023-11-16T00:00:00"/>
        <d v="2023-11-17T00:00:00"/>
        <d v="2023-11-20T00:00:00"/>
        <d v="2023-11-21T00:00:00"/>
        <d v="2023-11-22T00:00:00"/>
        <d v="2023-11-23T00:00:00"/>
        <d v="2023-11-24T00:00:00"/>
        <d v="2023-11-28T00:00:00"/>
        <d v="2023-11-29T00:00:00"/>
        <d v="2023-11-30T00:00:00"/>
        <d v="2023-12-01T00:00:00"/>
        <d v="2023-12-04T00:00:00"/>
        <d v="2023-12-05T00:00:00"/>
        <d v="2023-12-06T00:00:00"/>
        <d v="2023-12-07T00:00:00"/>
        <d v="2023-12-08T00:00:00"/>
        <d v="2023-12-11T00:00:00"/>
        <d v="2023-12-12T00:00:00"/>
        <d v="2023-12-13T00:00:00"/>
        <d v="2023-12-14T00:00:00"/>
        <d v="2023-12-15T00:00:00"/>
        <d v="2023-12-18T00:00:00"/>
        <d v="2023-12-19T00:00:00"/>
        <d v="2023-12-20T00:00:00"/>
        <d v="2023-12-21T00:00:00"/>
        <d v="2023-12-22T00:00:00"/>
        <d v="2023-12-26T00:00:00"/>
        <d v="2023-12-27T00:00:00"/>
        <d v="2023-12-28T00:00:00"/>
        <d v="2023-12-29T00:00:00"/>
        <d v="2024-01-01T00:00:00"/>
        <d v="2024-01-02T00:00:00"/>
        <d v="2024-01-03T00:00:00"/>
        <d v="2024-01-04T00:00:00"/>
        <d v="2024-01-05T00:00:00"/>
        <d v="2024-01-08T00:00:00"/>
        <d v="2024-01-09T00:00:00"/>
        <d v="2024-01-10T00:00:00"/>
        <d v="2024-01-11T00:00:00"/>
        <d v="2024-01-12T00:00:00"/>
        <d v="2024-01-15T00:00:00"/>
        <d v="2024-01-16T00:00:00"/>
        <d v="2024-01-17T00:00:00"/>
        <d v="2024-01-18T00:00:00"/>
        <d v="2024-01-19T00:00:00"/>
        <d v="2024-01-20T00:00:00"/>
        <d v="2024-01-23T00:00:00"/>
        <d v="2024-01-24T00:00:00"/>
        <d v="2024-01-25T00:00:00"/>
        <d v="2024-01-29T00:00:00"/>
        <d v="2024-01-30T00:00:00"/>
        <d v="2024-01-31T00:00:00"/>
        <d v="2024-02-01T00:00:00"/>
        <d v="2024-02-02T00:00:00"/>
        <d v="2024-02-05T00:00:00"/>
        <d v="2024-02-06T00:00:00"/>
        <d v="2024-02-07T00:00:00"/>
        <d v="2024-02-08T00:00:00"/>
        <d v="2024-02-09T00:00:00"/>
        <d v="2024-02-12T00:00:00"/>
        <d v="2024-02-13T00:00:00"/>
        <d v="2024-02-14T00:00:00"/>
        <d v="2024-02-15T00:00:00"/>
        <d v="2024-02-16T00:00:00"/>
        <d v="2024-02-19T00:00:00"/>
        <d v="2024-02-20T00:00:00"/>
        <d v="2024-02-21T00:00:00"/>
        <d v="2024-02-22T00:00:00"/>
        <d v="2024-02-23T00:00:00"/>
        <d v="2024-02-26T00:00:00"/>
        <d v="2024-02-27T00:00:00"/>
        <d v="2024-02-28T00:00:00"/>
        <d v="2024-02-29T00:00:00"/>
        <d v="2024-03-01T00:00:00"/>
        <d v="2024-03-02T00:00:00"/>
        <d v="2024-03-04T00:00:00"/>
        <d v="2024-03-05T00:00:00"/>
        <d v="2024-03-06T00:00:00"/>
        <d v="2024-03-07T00:00:00"/>
        <d v="2024-03-11T00:00:00"/>
        <d v="2024-03-12T00:00:00"/>
        <d v="2024-03-13T00:00:00"/>
        <d v="2024-03-14T00:00:00"/>
        <d v="2024-03-15T00:00:00"/>
        <d v="2024-03-18T00:00:00"/>
        <d v="2024-03-19T00:00:00"/>
        <d v="2024-03-20T00:00:00"/>
        <d v="2024-03-21T00:00:00"/>
        <d v="2024-03-22T00:00:00"/>
        <d v="2024-03-26T00:00:00"/>
        <d v="2024-03-27T00:00:00"/>
        <d v="2024-03-28T00:00:00"/>
        <d v="2024-04-01T00:00:00"/>
        <d v="2024-04-02T00:00:00"/>
        <d v="2024-04-03T00:00:00"/>
        <d v="2024-04-04T00:00:00"/>
        <d v="2024-04-05T00:00:00"/>
        <d v="2024-04-08T00:00:00"/>
        <d v="2024-04-09T00:00:00"/>
        <d v="2024-04-10T00:00:00"/>
        <d v="2024-04-12T00:00:00"/>
        <d v="2024-04-15T00:00:00"/>
        <d v="2024-04-16T00:00:00"/>
        <d v="2024-04-18T00:00:00"/>
        <d v="2024-04-19T00:00:00"/>
        <d v="2024-04-22T00:00:00"/>
        <d v="2024-04-23T00:00:00"/>
        <d v="2024-04-24T00:00:00"/>
        <d v="2024-04-25T00:00:00"/>
        <d v="2024-04-26T00:00:00"/>
        <d v="2024-04-29T00:00:00"/>
        <d v="2024-04-30T00:00:00"/>
        <d v="2024-05-02T00:00:00"/>
        <d v="2024-05-03T00:00:00"/>
        <d v="2024-05-06T00:00:00"/>
        <d v="2024-05-07T00:00:00"/>
        <d v="2024-05-08T00:00:00"/>
        <d v="2024-05-09T00:00:00"/>
        <d v="2024-05-10T00:00:00"/>
        <d v="2024-05-13T00:00:00"/>
        <d v="2024-05-14T00:00:00"/>
        <d v="2024-05-15T00:00:00"/>
        <d v="2024-05-16T00:00:00"/>
        <d v="2024-05-17T00:00:00"/>
        <d v="2024-05-18T00:00:00"/>
        <d v="2024-05-21T00:00:00"/>
        <d v="2024-05-22T00:00:00"/>
        <d v="2024-05-23T00:00:00"/>
        <d v="2024-05-24T00:00:00"/>
        <d v="2024-05-27T00:00:00"/>
        <d v="2024-05-28T00:00:00"/>
        <d v="2024-05-29T00:00:00"/>
        <d v="2024-05-30T00:00:00"/>
        <d v="2024-05-31T00:00:00"/>
        <d v="2024-06-03T00:00:00"/>
        <d v="2024-06-04T00:00:00"/>
        <d v="2024-06-05T00:00:00"/>
        <d v="2024-06-06T00:00:00"/>
        <d v="2024-06-07T00:00:00"/>
        <d v="2024-06-10T00:00:00"/>
        <d v="2024-06-11T00:00:00"/>
        <d v="2024-06-12T00:00:00"/>
        <d v="2024-06-13T00:00:00"/>
        <d v="2024-06-14T00:00:00"/>
        <d v="2024-06-18T00:00:00"/>
        <d v="2024-06-19T00:00:00"/>
        <d v="2024-06-20T00:00:00"/>
        <d v="2024-06-21T00:00:00"/>
        <d v="2024-06-24T00:00:00"/>
        <d v="2024-06-25T00:00:00"/>
        <d v="2024-06-26T00:00:00"/>
        <d v="2024-06-27T00:00:00"/>
        <d v="2024-06-28T00:00:00"/>
        <d v="2024-07-01T00:00:00"/>
        <d v="2024-07-02T00:00:00"/>
        <d v="2024-07-03T00:00:00"/>
        <d v="2024-07-04T00:00:00"/>
        <d v="2024-07-05T00:00:00"/>
        <d v="2024-07-08T00:00:00"/>
        <d v="2024-07-09T00:00:00"/>
        <d v="2024-07-10T00:00:00"/>
        <d v="2024-07-11T00:00:00"/>
        <d v="2024-07-12T00:00:00"/>
        <d v="2024-07-15T00:00:00"/>
        <d v="2024-07-16T00:00:00"/>
        <d v="2024-07-18T00:00:00"/>
        <d v="2024-07-19T00:00:00"/>
        <d v="2024-07-22T00:00:00"/>
        <d v="2024-07-23T00:00:00"/>
        <d v="2024-07-24T00:00:00"/>
        <d v="2024-07-25T00:00:00"/>
        <d v="2024-07-26T00:00:00"/>
        <d v="2024-07-29T00:00:00"/>
        <d v="2024-07-30T00:00:00"/>
        <d v="2024-07-31T00:00:00"/>
        <d v="2024-08-01T00:00:00"/>
        <d v="2024-08-02T00:00:00"/>
        <d v="2024-08-05T00:00:00"/>
        <d v="2024-08-06T00:00:00"/>
        <d v="2024-08-07T00:00:00"/>
        <d v="2024-08-08T00:00:00"/>
        <d v="2024-08-09T00:00:00"/>
        <d v="2024-08-12T00:00:00"/>
        <d v="2024-08-13T00:00:00"/>
        <d v="2024-08-14T00:00:00"/>
        <d v="2024-08-16T00:00:00"/>
        <d v="2024-08-19T00:00:00"/>
        <d v="2024-08-20T00:00:00"/>
        <d v="2024-08-21T00:00:00"/>
        <d v="2024-08-22T00:00:00"/>
        <d v="2024-08-23T00:00:00"/>
        <d v="2024-08-26T00:00:00"/>
        <d v="2024-08-27T00:00:00"/>
        <d v="2024-08-28T00:00:00"/>
        <d v="2024-08-29T00:00:00"/>
        <d v="2024-08-30T00:00:00"/>
        <d v="2024-09-02T00:00:00"/>
        <d v="2024-09-03T00:00:00"/>
        <d v="2024-09-04T00:00:00"/>
        <d v="2024-09-05T00:00:00"/>
        <d v="2024-09-06T00:00:00"/>
        <d v="2024-09-09T00:00:00"/>
        <d v="2024-09-10T00:00:00"/>
        <d v="2024-09-11T00:00:00"/>
        <d v="2024-09-12T00:00:00"/>
        <d v="2024-09-13T00:00:00"/>
        <d v="2024-09-16T00:00:00"/>
        <d v="2024-09-17T00:00:00"/>
        <d v="2024-09-18T00:00:00"/>
        <d v="2024-09-19T00:00:00"/>
        <d v="2024-09-20T00:00:00"/>
        <d v="2024-09-23T00:00:00"/>
        <d v="2024-09-24T00:00:00"/>
        <d v="2024-09-25T00:00:00"/>
        <d v="2024-09-26T00:00:00"/>
        <d v="2024-09-27T00:00:00"/>
        <d v="2024-09-30T00:00:00"/>
        <d v="2024-10-01T00:00:00"/>
        <d v="2024-10-03T00:00:00"/>
        <d v="2024-10-04T00:00:00"/>
        <d v="2024-10-07T00:00:00"/>
        <d v="2024-10-08T00:00:00"/>
        <d v="2024-10-09T00:00:00"/>
        <d v="2024-10-10T00:00:00"/>
        <d v="2024-10-11T00:00:00"/>
        <d v="2024-10-14T00:00:00"/>
        <d v="2024-10-15T00:00:00"/>
        <d v="2024-10-16T00:00:00"/>
        <d v="2024-10-17T00:00:00"/>
        <d v="2024-10-18T00:00:00"/>
        <d v="2024-10-21T00:00:00"/>
        <d v="2024-10-22T00:00:00"/>
        <d v="2024-10-23T00:00:00"/>
        <d v="2024-10-24T00:00:00"/>
        <d v="2024-10-25T00:00:00"/>
        <d v="2024-10-28T00:00:00"/>
        <d v="2024-10-29T00:00:00"/>
        <d v="2024-10-30T00:00:00"/>
        <d v="2024-10-31T00:00:00"/>
        <d v="2024-11-01T00:00:00"/>
        <d v="2024-11-04T00:00:00"/>
        <d v="2024-11-05T00:00:00"/>
        <d v="2024-11-06T00:00:00"/>
        <d v="2024-11-07T00:00:00"/>
        <d v="2024-11-08T00:00:00"/>
        <d v="2024-11-11T00:00:00"/>
        <d v="2024-11-12T00:00:00"/>
        <d v="2024-11-13T00:00:00"/>
        <d v="2024-11-14T00:00:00"/>
        <d v="2024-11-18T00:00:00"/>
        <d v="2024-11-19T00:00:00"/>
        <d v="2024-11-21T00:00:00"/>
        <d v="2024-11-22T00:00:00"/>
        <d v="2024-11-25T00:00:00"/>
        <d v="2024-11-26T00:00:00"/>
        <d v="2024-11-27T00:00:00"/>
        <d v="2024-11-28T00:00:00"/>
        <d v="2024-11-29T00:00:00"/>
        <d v="2024-12-02T00:00:00"/>
        <d v="2024-12-03T00:00:00"/>
        <d v="2024-12-04T00:00:00"/>
        <d v="2024-12-05T00:00:00"/>
        <d v="2024-12-06T00:00:00"/>
        <d v="2024-12-09T00:00:00"/>
        <d v="2024-12-10T00:00:00"/>
        <d v="2024-12-11T00:00:00"/>
        <d v="2024-12-12T00:00:00"/>
        <d v="2024-12-13T00:00:00"/>
        <d v="2024-12-16T00:00:00"/>
        <d v="2024-12-17T00:00:00"/>
        <d v="2024-12-18T00:00:00"/>
        <d v="2024-12-19T00:00:00"/>
        <d v="2024-12-20T00:00:00"/>
        <d v="2024-12-23T00:00:00"/>
        <d v="2024-12-24T00:00:00"/>
        <d v="2024-12-26T00:00:00"/>
        <d v="2024-12-27T00:00:00"/>
        <d v="2024-12-30T00:00:00"/>
        <d v="2024-12-31T00:00:00"/>
        <d v="2025-01-01T00:00:00"/>
        <d v="2025-01-02T00:00:00"/>
        <d v="2025-01-03T00:00:00"/>
        <d v="2025-01-06T00:00:00"/>
        <d v="2025-01-07T00:00:00"/>
        <d v="2025-01-08T00:00:00"/>
        <d v="2025-01-09T00:00:00"/>
        <d v="2025-01-10T00:00:00"/>
        <d v="2025-01-13T00:00:00"/>
        <d v="2025-01-14T00:00:00"/>
        <d v="2025-01-15T00:00:00"/>
        <d v="2025-01-16T00:00:00"/>
        <d v="2025-01-17T00:00:00"/>
        <d v="2025-01-20T00:00:00"/>
        <d v="2025-01-21T00:00:00"/>
        <d v="2025-01-22T00:00:00"/>
        <d v="2025-01-23T00:00:00"/>
        <d v="2025-01-24T00:00:00"/>
        <d v="2025-01-27T00:00:00"/>
        <d v="2025-01-28T00:00:00"/>
        <d v="2025-01-29T00:00:00"/>
        <d v="2025-01-30T00:00:00"/>
        <d v="2025-01-31T00:00:00"/>
        <d v="2025-02-01T00:00:00"/>
        <d v="2025-02-03T00:00:00"/>
        <d v="2025-02-04T00:00:00"/>
        <d v="2025-02-05T00:00:00"/>
        <d v="2025-02-06T00:00:00"/>
        <d v="2025-02-07T00:00:00"/>
        <d v="2025-02-10T00:00:00"/>
        <d v="2025-02-11T00:00:00"/>
        <d v="2025-02-12T00:00:00"/>
        <d v="2025-02-13T00:00:00"/>
        <d v="2025-02-14T00:00:00"/>
        <d v="2025-02-17T00:00:00"/>
        <d v="2025-02-18T00:00:00"/>
        <d v="2025-02-19T00:00:00"/>
        <d v="2025-02-20T00:00:00"/>
        <d v="2025-02-21T00:00:00"/>
        <d v="2025-02-24T00:00:00"/>
        <d v="2025-02-25T00:00:00"/>
        <d v="2025-02-27T00:00:00"/>
        <d v="2025-02-28T00:00:00"/>
        <d v="2025-03-03T00:00:00"/>
        <d v="2025-03-04T00:00:00"/>
        <d v="2025-03-05T00:00:00"/>
        <d v="2025-03-06T00:00:00"/>
        <d v="2025-03-07T00:00:00"/>
        <d v="2025-03-10T00:00:00"/>
        <d v="2025-03-11T00:00:00"/>
        <d v="2025-03-12T00:00:00"/>
        <d v="2025-03-13T00:00:00"/>
        <d v="2025-03-17T00:00:00"/>
        <d v="2025-03-18T00:00:00"/>
        <d v="2025-03-19T00:00:00"/>
        <d v="2025-03-20T00:00:00"/>
        <d v="2025-03-21T00:00:00"/>
        <d v="2025-03-24T00:00:00"/>
        <d v="2025-03-25T00:00:00"/>
        <d v="2025-03-26T00:00:00"/>
        <d v="2025-03-27T00:00:00"/>
        <d v="2025-03-28T00:00:00"/>
        <d v="2025-04-01T00:00:00"/>
        <d v="2025-04-02T00:00:00"/>
        <d v="2025-04-03T00:00:00"/>
        <d v="2025-04-04T00:00:00"/>
        <d v="2025-04-07T00:00:00"/>
        <d v="2025-04-08T00:00:00"/>
        <d v="2025-04-09T00:00:00"/>
        <d v="2025-04-11T00:00:00"/>
        <d v="2025-04-15T00:00:00"/>
        <d v="2025-04-16T00:00:00"/>
        <d v="2025-04-17T00:00:00"/>
        <d v="2025-04-21T00:00:00"/>
        <d v="2025-04-22T00:00:00"/>
        <d v="2025-04-23T00:00:00"/>
        <d v="2025-04-24T00:00:00"/>
        <d v="2025-04-25T00:00:00"/>
        <d v="2025-04-28T00:00:00"/>
        <d v="2025-04-29T00:00:00"/>
        <d v="2025-04-30T00:00:00"/>
        <d v="2025-05-02T00:00:00"/>
        <d v="2025-05-05T00:00:00"/>
        <d v="2025-05-06T00:00:00"/>
        <d v="2025-05-07T00:00:00"/>
        <d v="2025-05-08T00:00:00"/>
        <d v="2025-05-09T00:00:00"/>
        <d v="2025-05-12T00:00:00"/>
        <d v="2025-05-13T00:00:00"/>
        <d v="2025-05-14T00:00:00"/>
        <d v="2025-05-15T00:00:00"/>
        <d v="2025-05-16T00:00:00"/>
        <d v="2025-05-19T00:00:00"/>
        <d v="2025-05-20T00:00:00"/>
        <d v="2025-05-21T00:00:00"/>
        <d v="2025-05-22T00:00:00"/>
        <d v="2025-05-23T00:00:00"/>
        <d v="2025-05-26T00:00:00"/>
        <d v="2025-05-27T00:00:00"/>
        <d v="2025-05-28T00:00:00"/>
        <d v="2025-05-29T00:00:00"/>
        <d v="2025-05-30T00:00:00"/>
        <d v="2025-06-02T00:00:00"/>
        <d v="2025-06-03T00:00:00"/>
        <d v="2025-06-04T00:00:00"/>
        <d v="2025-06-05T00:00:00"/>
        <d v="2025-06-06T00:00:00"/>
        <d v="2025-06-09T00:00:00"/>
        <d v="2025-06-10T00:00:00"/>
        <d v="2025-06-11T00:00:00"/>
        <d v="2025-06-12T00:00:00"/>
        <d v="2025-06-13T00:00:00"/>
        <d v="2025-06-16T00:00:00"/>
        <d v="2025-06-17T00:00:00"/>
        <d v="2025-06-18T00:00:00"/>
        <d v="2025-06-19T00:00:00"/>
        <d v="2025-06-20T00:00:00"/>
        <d v="2025-06-23T00:00:00"/>
        <d v="2025-06-24T00:00:00"/>
        <d v="2025-06-25T00:00:00"/>
        <d v="2025-06-26T00:00:00"/>
        <d v="2025-06-27T00:00:00"/>
        <d v="2025-06-30T00:00:00"/>
        <d v="2025-07-01T00:00:00"/>
        <d v="2025-07-02T00:00:00"/>
        <d v="2025-07-03T00:00:00"/>
        <d v="2025-07-04T00:00:00"/>
        <d v="2025-07-07T00:00:00"/>
        <d v="2025-07-08T00:00:00"/>
        <d v="2025-07-09T00:00:00"/>
        <d v="2025-07-10T00:00:00"/>
        <d v="2025-07-11T00:00:00"/>
        <d v="2025-07-14T00:00:00"/>
        <d v="2025-07-15T00:00:00"/>
        <d v="2025-07-16T00:00:00"/>
        <d v="2025-07-17T00:00:00"/>
        <d v="2025-07-18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1T00:00:00"/>
        <d v="2025-08-04T00:00:00"/>
        <d v="2025-08-05T00:00:00"/>
        <d v="2025-08-06T00:00:00"/>
        <d v="2025-08-07T00:00:00"/>
        <d v="2025-08-08T00:00:00"/>
        <d v="2025-08-11T00:00:00"/>
        <d v="2025-08-12T00:00:00"/>
        <d v="2025-08-13T00:00:00"/>
        <d v="2025-08-14T00:00:00"/>
        <d v="2025-08-18T00:00:00"/>
        <d v="2025-08-19T00:00:00"/>
        <d v="2025-08-20T00:00:00"/>
        <d v="2025-08-21T00:00:00"/>
        <d v="2025-08-22T00:00:00"/>
        <d v="2025-08-25T00:00:00"/>
        <d v="2025-08-26T00:00:00"/>
        <d v="2025-08-28T00:00:00"/>
        <d v="2025-08-29T00:00:00"/>
        <d v="2025-09-01T00:00:00"/>
        <d v="2025-09-02T00:00:00"/>
        <d v="2025-09-03T00:00:00"/>
        <d v="2025-09-04T00:00:00"/>
        <d v="2025-09-05T00:00:00"/>
        <d v="2025-09-08T00:00:00"/>
        <d v="2025-09-09T00:00:00"/>
        <d v="2025-09-10T00:00:00"/>
        <d v="2025-09-11T00:00:00"/>
        <d v="2025-09-12T00:00:00"/>
        <d v="2025-09-15T00:00:00"/>
        <d v="2025-09-16T00:00:00"/>
        <d v="2025-09-17T00:00:00"/>
        <d v="2025-09-18T00:00:00"/>
        <d v="2025-09-19T00:00:00"/>
        <d v="2025-09-22T00:00:00"/>
        <d v="2025-09-23T00:00:00"/>
        <d v="2025-09-24T00:00:00"/>
        <d v="2025-09-25T00:00:00"/>
        <d v="2025-09-26T00:00:00"/>
        <d v="2025-09-29T00:00:00"/>
        <d v="2025-09-30T00:00:00"/>
        <d v="2025-10-01T00:00:00"/>
        <d v="2025-10-03T00:00:00"/>
        <d v="2025-10-06T00:00:00"/>
        <d v="2025-10-07T00:00:00"/>
        <d v="2025-10-08T00:00:00"/>
        <d v="2025-10-09T00:00:00"/>
        <d v="2025-10-10T00:00:00"/>
      </sharedItems>
      <fieldGroup par="20"/>
    </cacheField>
    <cacheField name="series " numFmtId="0">
      <sharedItems count="1">
        <s v="EQ"/>
      </sharedItems>
    </cacheField>
    <cacheField name="OPEN " numFmtId="4">
      <sharedItems containsSemiMixedTypes="0" containsString="0" containsNumber="1" minValue="2085.1" maxValue="3725"/>
    </cacheField>
    <cacheField name="HIGH " numFmtId="4">
      <sharedItems containsSemiMixedTypes="0" containsString="0" containsNumber="1" minValue="2111.35" maxValue="3743.9"/>
    </cacheField>
    <cacheField name="LOW " numFmtId="4">
      <sharedItems containsSemiMixedTypes="0" containsString="0" containsNumber="1" minValue="2025" maxValue="3586.05"/>
    </cacheField>
    <cacheField name="PREV. CLOSE " numFmtId="4">
      <sharedItems containsSemiMixedTypes="0" containsString="0" containsNumber="1" minValue="2096" maxValue="3645.25"/>
    </cacheField>
    <cacheField name="ltp " numFmtId="4">
      <sharedItems containsSemiMixedTypes="0" containsString="0" containsNumber="1" minValue="2097.5500000000002" maxValue="3660.1"/>
    </cacheField>
    <cacheField name="close " numFmtId="4">
      <sharedItems containsSemiMixedTypes="0" containsString="0" containsNumber="1" minValue="2096" maxValue="3645.25"/>
    </cacheField>
    <cacheField name="vwap " numFmtId="4">
      <sharedItems containsSemiMixedTypes="0" containsString="0" containsNumber="1" minValue="2078.96" maxValue="3659.12"/>
    </cacheField>
    <cacheField name="52W H " numFmtId="4">
      <sharedItems containsSemiMixedTypes="0" containsString="0" containsNumber="1" minValue="3199" maxValue="4190"/>
    </cacheField>
    <cacheField name="52W L " numFmtId="4">
      <sharedItems containsSemiMixedTypes="0" containsString="0" containsNumber="1" minValue="1017.45" maxValue="2142"/>
    </cacheField>
    <cacheField name="VOLUME " numFmtId="0">
      <sharedItems containsMixedTypes="1" containsNumber="1" containsInteger="1" minValue="74336" maxValue="74336" count="522">
        <s v="59,98,454"/>
        <s v="64,89,319"/>
        <s v="74,16,248"/>
        <s v="42,98,988"/>
        <s v="56,40,973"/>
        <s v="91,48,241"/>
        <s v="56,58,774"/>
        <s v="17,80,068"/>
        <s v="12,18,481"/>
        <s v="15,47,001"/>
        <s v="8,61,677"/>
        <s v="12,03,019"/>
        <s v="12,79,908"/>
        <s v="8,65,589"/>
        <s v="12,16,898"/>
        <s v="6,98,863"/>
        <s v="10,77,373"/>
        <s v="22,25,560"/>
        <s v="16,89,201"/>
        <s v="20,19,899"/>
        <s v="28,57,377"/>
        <s v="11,32,455"/>
        <s v="15,10,035"/>
        <s v="14,08,224"/>
        <s v="17,71,910"/>
        <s v="16,27,836"/>
        <s v="18,04,818"/>
        <s v="22,78,682"/>
        <s v="8,03,856"/>
        <s v="7,07,543"/>
        <s v="7,76,977"/>
        <s v="11,68,822"/>
        <s v="12,40,350"/>
        <s v="14,83,549"/>
        <s v="15,40,819"/>
        <s v="22,26,073"/>
        <s v="12,44,293"/>
        <s v="9,96,448"/>
        <s v="11,55,280"/>
        <s v="16,66,579"/>
        <s v="23,40,997"/>
        <s v="18,53,300"/>
        <s v="7,70,061"/>
        <s v="6,41,554"/>
        <s v="11,69,180"/>
        <s v="12,67,890"/>
        <s v="10,72,597"/>
        <s v="1,48,320"/>
        <s v="8,53,633"/>
        <s v="6,96,475"/>
        <s v="13,07,584"/>
        <s v="9,16,518"/>
        <s v="15,77,213"/>
        <s v="18,39,502"/>
        <s v="12,47,205"/>
        <s v="7,29,114"/>
        <s v="19,46,259"/>
        <s v="1,19,72,275"/>
        <s v="45,61,574"/>
        <s v="29,83,879"/>
        <s v="17,92,983"/>
        <s v="56,81,516"/>
        <s v="2,28,79,079"/>
        <s v="1,93,55,777"/>
        <s v="63,25,887"/>
        <s v="69,59,428"/>
        <s v="50,64,123"/>
        <s v="20,17,772"/>
        <s v="28,05,832"/>
        <s v="32,24,681"/>
        <s v="49,21,484"/>
        <s v="23,15,922"/>
        <s v="17,41,493"/>
        <s v="34,17,739"/>
        <s v="26,78,577"/>
        <s v="15,13,956"/>
        <s v="20,48,484"/>
        <s v="16,98,325"/>
        <s v="41,02,912"/>
        <s v="15,07,086"/>
        <s v="28,98,619"/>
        <s v="26,71,368"/>
        <s v="1,97,25,411"/>
        <s v="29,75,620"/>
        <s v="32,19,949"/>
        <s v="18,49,061"/>
        <s v="28,85,706"/>
        <s v="35,90,297"/>
        <s v="20,08,103"/>
        <s v="17,95,933"/>
        <s v="14,07,007"/>
        <s v="25,15,564"/>
        <s v="28,97,218"/>
        <s v="25,52,342"/>
        <s v="20,14,096"/>
        <s v="18,78,793"/>
        <s v="18,27,002"/>
        <s v="58,07,940"/>
        <s v="26,01,969"/>
        <s v="44,02,976"/>
        <s v="31,15,506"/>
        <s v="26,71,051"/>
        <s v="46,86,595"/>
        <s v="27,08,695"/>
        <s v="21,91,195"/>
        <s v="20,78,891"/>
        <s v="20,95,911"/>
        <s v="16,79,004"/>
        <s v="15,72,789"/>
        <s v="10,83,138"/>
        <s v="12,25,207"/>
        <s v="17,41,264"/>
        <s v="20,35,204"/>
        <s v="21,93,673"/>
        <s v="17,79,444"/>
        <s v="14,67,630"/>
        <s v="16,57,021"/>
        <s v="11,38,722"/>
        <s v="19,75,035"/>
        <s v="16,95,378"/>
        <s v="11,25,570"/>
        <s v="13,58,879"/>
        <s v="13,52,988"/>
        <s v="11,61,067"/>
        <s v="1,19,511"/>
        <s v="10,61,244"/>
        <s v="11,90,416"/>
        <s v="19,35,203"/>
        <s v="8,56,328"/>
        <s v="7,38,851"/>
        <s v="11,99,487"/>
        <s v="34,07,040"/>
        <s v="37,59,100"/>
        <s v="21,99,094"/>
        <s v="30,42,515"/>
        <s v="14,60,452"/>
        <s v="9,66,481"/>
        <s v="11,75,751"/>
        <s v="9,51,557"/>
        <s v="9,37,103"/>
        <s v="9,00,231"/>
        <s v="23,27,053"/>
        <s v="12,92,646"/>
        <s v="8,68,829"/>
        <s v="11,53,109"/>
        <s v="14,03,826"/>
        <s v="7,55,607"/>
        <s v="5,77,440"/>
        <s v="8,33,679"/>
        <s v="14,41,138"/>
        <s v="7,05,173"/>
        <s v="10,35,378"/>
        <s v="11,34,184"/>
        <s v="17,03,646"/>
        <s v="17,27,317"/>
        <s v="9,93,929"/>
        <s v="16,54,272"/>
        <s v="6,05,917"/>
        <s v="15,15,529"/>
        <s v="6,62,764"/>
        <s v="6,48,544"/>
        <s v="8,04,552"/>
        <s v="22,19,085"/>
        <s v="14,72,168"/>
        <s v="23,77,944"/>
        <s v="12,62,311"/>
        <s v="9,51,411"/>
        <s v="14,85,510"/>
        <s v="23,54,794"/>
        <s v="37,84,373"/>
        <s v="57,25,807"/>
        <s v="16,88,836"/>
        <s v="18,35,312"/>
        <s v="8,25,436"/>
        <n v="74336"/>
        <s v="30,91,659"/>
        <s v="33,71,077"/>
        <s v="69,79,082"/>
        <s v="34,73,668"/>
        <s v="25,82,485"/>
        <s v="16,21,168"/>
        <s v="19,10,729"/>
        <s v="19,90,208"/>
        <s v="63,84,589"/>
        <s v="85,11,359"/>
        <s v="2,03,06,909"/>
        <s v="87,78,345"/>
        <s v="58,73,271"/>
        <s v="47,40,455"/>
        <s v="49,35,698"/>
        <s v="41,73,692"/>
        <s v="30,22,477"/>
        <s v="32,02,978"/>
        <s v="42,24,855"/>
        <s v="17,55,612"/>
        <s v="14,19,264"/>
        <s v="13,66,545"/>
        <s v="46,97,655"/>
        <s v="32,61,647"/>
        <s v="16,94,962"/>
        <s v="21,42,889"/>
        <s v="51,14,980"/>
        <s v="9,60,905"/>
        <s v="8,32,170"/>
        <s v="14,90,844"/>
        <s v="11,52,522"/>
        <s v="10,55,391"/>
        <s v="6,63,988"/>
        <s v="11,55,112"/>
        <s v="9,22,403"/>
        <s v="5,86,710"/>
        <s v="8,99,781"/>
        <s v="7,56,036"/>
        <s v="7,24,174"/>
        <s v="9,88,357"/>
        <s v="10,21,653"/>
        <s v="10,26,941"/>
        <s v="6,62,085"/>
        <s v="14,43,331"/>
        <s v="6,93,702"/>
        <s v="11,05,721"/>
        <s v="19,42,427"/>
        <s v="10,37,474"/>
        <s v="16,47,048"/>
        <s v="24,14,005"/>
        <s v="61,49,883"/>
        <s v="33,60,209"/>
        <s v="22,38,921"/>
        <s v="21,25,201"/>
        <s v="18,68,169"/>
        <s v="21,39,376"/>
        <s v="7,60,165"/>
        <s v="1,03,07,245"/>
        <s v="21,92,588"/>
        <s v="12,32,383"/>
        <s v="9,70,067"/>
        <s v="5,57,265"/>
        <s v="6,62,263"/>
        <s v="13,79,240"/>
        <s v="13,78,912"/>
        <s v="13,75,224"/>
        <s v="16,32,446"/>
        <s v="13,10,440"/>
        <s v="15,69,652"/>
        <s v="18,53,966"/>
        <s v="35,09,174"/>
        <s v="18,42,658"/>
        <s v="13,71,577"/>
        <s v="12,12,270"/>
        <s v="7,34,273"/>
        <s v="12,51,165"/>
        <s v="15,23,581"/>
        <s v="8,03,782"/>
        <s v="8,88,628"/>
        <s v="13,14,173"/>
        <s v="8,15,948"/>
        <s v="6,95,162"/>
        <s v="6,98,700"/>
        <s v="8,31,891"/>
        <s v="16,55,401"/>
        <s v="17,87,210"/>
        <s v="8,97,314"/>
        <s v="10,21,918"/>
        <s v="9,13,008"/>
        <s v="15,48,019"/>
        <s v="22,97,441"/>
        <s v="16,07,429"/>
        <s v="13,67,116"/>
        <s v="13,09,703"/>
        <s v="9,87,583"/>
        <s v="17,43,454"/>
        <s v="17,76,511"/>
        <s v="8,97,335"/>
        <s v="29,05,725"/>
        <s v="10,35,260"/>
        <s v="4,37,728"/>
        <s v="3,71,613"/>
        <s v="5,43,476"/>
        <s v="26,55,289"/>
        <s v="7,96,339"/>
        <s v="10,51,690"/>
        <s v="12,09,732"/>
        <s v="12,70,530"/>
        <s v="9,42,066"/>
        <s v="19,54,174"/>
        <s v="13,85,033"/>
        <s v="15,29,844"/>
        <s v="28,84,272"/>
        <s v="11,56,390"/>
        <s v="3,04,673"/>
        <s v="10,59,384"/>
        <s v="7,52,303"/>
        <s v="16,76,755"/>
        <s v="12,85,585"/>
        <s v="8,35,641"/>
        <s v="5,84,144"/>
        <s v="5,97,231"/>
        <s v="8,90,146"/>
        <s v="6,46,797"/>
        <s v="4,89,692"/>
        <s v="5,36,296"/>
        <s v="2,17,96,668"/>
        <s v="2,09,39,196"/>
        <s v="74,66,733"/>
        <s v="77,23,187"/>
        <s v="1,75,02,156"/>
        <s v="1,44,45,549"/>
        <s v="81,91,680"/>
        <s v="38,07,565"/>
        <s v="40,70,042"/>
        <s v="23,44,949"/>
        <s v="33,33,144"/>
        <s v="12,40,437"/>
        <s v="9,58,369"/>
        <s v="11,19,844"/>
        <s v="7,12,674"/>
        <s v="25,79,624"/>
        <s v="19,40,935"/>
        <s v="6,54,321"/>
        <s v="10,61,891"/>
        <s v="9,90,217"/>
        <s v="11,81,898"/>
        <s v="13,37,016"/>
        <s v="7,58,920"/>
        <s v="11,56,186"/>
        <s v="8,95,785"/>
        <s v="19,82,291"/>
        <s v="78,25,097"/>
        <s v="27,45,674"/>
        <s v="28,75,721"/>
        <s v="11,67,236"/>
        <s v="9,32,795"/>
        <s v="11,21,398"/>
        <s v="10,19,131"/>
        <s v="8,79,641"/>
        <s v="7,05,838"/>
        <s v="14,18,808"/>
        <s v="15,59,903"/>
        <s v="41,20,705"/>
        <s v="14,21,437"/>
        <s v="28,41,803"/>
        <s v="11,22,205"/>
        <s v="10,39,435"/>
        <s v="12,06,512"/>
        <s v="11,47,334"/>
        <s v="8,26,721"/>
        <s v="13,88,583"/>
        <s v="10,32,995"/>
        <s v="9,66,497"/>
        <s v="7,85,220"/>
        <s v="26,01,625"/>
        <s v="20,13,345"/>
        <s v="9,87,362"/>
        <s v="8,24,942"/>
        <s v="6,91,187"/>
        <s v="5,60,940"/>
        <s v="6,80,544"/>
        <s v="8,92,900"/>
        <s v="7,39,708"/>
        <s v="48,95,456"/>
        <s v="19,33,098"/>
        <s v="25,51,940"/>
        <s v="25,50,043"/>
        <s v="14,00,160"/>
        <s v="11,38,090"/>
        <s v="12,03,163"/>
        <s v="10,86,670"/>
        <s v="15,40,308"/>
        <s v="10,32,294"/>
        <s v="8,02,131"/>
        <s v="9,41,950"/>
        <s v="23,73,922"/>
        <s v="15,92,611"/>
        <s v="8,52,978"/>
        <s v="13,70,106"/>
        <s v="8,90,270"/>
        <s v="8,18,806"/>
        <s v="9,40,113"/>
        <s v="9,47,079"/>
        <s v="10,49,076"/>
        <s v="7,50,310"/>
        <s v="9,27,737"/>
        <s v="8,78,007"/>
        <s v="10,30,345"/>
        <s v="25,87,051"/>
        <s v="11,01,418"/>
        <s v="10,10,184"/>
        <s v="7,63,065"/>
        <s v="10,78,870"/>
        <s v="16,96,042"/>
        <s v="18,38,836"/>
        <s v="5,01,942"/>
        <s v="5,73,928"/>
        <s v="10,23,200"/>
        <s v="12,19,733"/>
        <s v="15,67,177"/>
        <s v="12,24,362"/>
        <s v="10,01,633"/>
        <s v="9,81,463"/>
        <s v="11,45,125"/>
        <s v="8,89,949"/>
        <s v="10,54,797"/>
        <s v="7,82,559"/>
        <s v="7,66,567"/>
        <s v="6,72,262"/>
        <s v="5,96,696"/>
        <s v="14,14,809"/>
        <s v="6,81,421"/>
        <s v="6,70,730"/>
        <s v="8,37,464"/>
        <s v="19,58,739"/>
        <s v="42,27,194"/>
        <s v="15,24,692"/>
        <s v="10,12,640"/>
        <s v="13,80,069"/>
        <s v="10,06,000"/>
        <s v="21,47,039"/>
        <s v="18,15,179"/>
        <s v="7,74,441"/>
        <s v="15,54,801"/>
        <s v="16,41,135"/>
        <s v="6,81,000"/>
        <s v="6,28,023"/>
        <s v="5,29,234"/>
        <s v="9,06,909"/>
        <s v="9,68,415"/>
        <s v="5,52,912"/>
        <s v="5,14,936"/>
        <s v="5,75,989"/>
        <s v="8,02,317"/>
        <s v="6,84,592"/>
        <s v="10,08,716"/>
        <s v="9,62,708"/>
        <s v="5,52,667"/>
        <s v="6,73,209"/>
        <s v="6,40,680"/>
        <s v="17,11,167"/>
        <s v="20,84,054"/>
        <s v="7,45,432"/>
        <s v="9,55,097"/>
        <s v="6,95,869"/>
        <s v="9,56,459"/>
        <s v="7,03,343"/>
        <s v="6,67,044"/>
        <s v="6,88,209"/>
        <s v="30,02,549"/>
        <s v="7,90,535"/>
        <s v="9,96,405"/>
        <s v="9,21,346"/>
        <s v="13,39,627"/>
        <s v="40,49,316"/>
        <s v="6,94,815"/>
        <s v="7,29,197"/>
        <s v="6,21,409"/>
        <s v="5,02,724"/>
        <s v="3,70,305"/>
        <s v="4,12,159"/>
        <s v="3,57,701"/>
        <s v="3,96,880"/>
        <s v="3,06,565"/>
        <s v="3,90,645"/>
        <s v="5,36,585"/>
        <s v="3,79,425"/>
        <s v="6,86,644"/>
        <s v="7,85,771"/>
        <s v="4,79,942"/>
        <s v="3,69,782"/>
        <s v="3,87,055"/>
        <s v="3,16,424"/>
        <s v="2,53,782"/>
        <s v="4,24,612"/>
        <s v="4,28,409"/>
        <s v="4,24,781"/>
        <s v="2,62,063"/>
        <s v="14,57,616"/>
        <s v="9,76,341"/>
        <s v="5,76,426"/>
        <s v="5,76,742"/>
        <s v="6,31,582"/>
        <s v="15,29,410"/>
        <s v="25,52,736"/>
        <s v="23,76,286"/>
        <s v="10,75,526"/>
        <s v="9,98,109"/>
        <s v="9,88,629"/>
        <s v="10,69,432"/>
        <s v="7,80,025"/>
        <s v="4,41,867"/>
        <s v="5,84,211"/>
        <s v="5,42,455"/>
        <s v="10,71,550"/>
        <s v="9,07,868"/>
        <s v="7,95,699"/>
        <s v="4,25,639"/>
        <s v="4,81,894"/>
        <s v="4,43,629"/>
        <s v="3,92,697"/>
        <s v="4,43,010"/>
        <s v="5,42,811"/>
        <s v="3,69,431"/>
        <s v="3,90,490"/>
        <s v="21,11,888"/>
        <s v="5,33,971"/>
        <s v="2,98,129"/>
        <s v="7,52,979"/>
        <s v="5,14,354"/>
        <s v="7,03,730"/>
        <s v="79,65,135"/>
        <s v="70,22,985"/>
        <s v="56,10,022"/>
        <s v="17,20,785"/>
        <s v="14,89,682"/>
        <s v="10,37,808"/>
        <s v="10,12,402"/>
        <s v="7,12,592"/>
        <s v="15,73,485"/>
        <s v="9,17,651"/>
        <s v="6,54,955"/>
        <s v="11,20,230"/>
        <s v="10,63,357"/>
        <s v="6,51,703"/>
        <s v="6,90,142"/>
      </sharedItems>
    </cacheField>
    <cacheField name="VALUE " numFmtId="0">
      <sharedItems count="523">
        <s v="14,81,94,12,140.30"/>
        <s v="16,14,66,83,103.20"/>
        <s v="18,49,41,82,978.55"/>
        <s v="10,77,32,83,012.10"/>
        <s v="14,25,18,47,311.05"/>
        <s v="23,61,27,71,041.40"/>
        <s v="14,46,11,29,168.90"/>
        <s v="4,50,09,35,940.00"/>
        <s v="3,07,55,05,237.20"/>
        <s v="3,92,81,38,873.75"/>
        <s v="2,17,26,82,220.55"/>
        <s v="2,99,44,74,438.95"/>
        <s v="3,17,72,48,552.25"/>
        <s v="2,14,15,28,315.00"/>
        <s v="2,99,39,92,416.55"/>
        <s v="1,72,93,10,964.40"/>
        <s v="2,66,67,89,719.35"/>
        <s v="5,51,62,52,181.95"/>
        <s v="4,10,51,65,312.70"/>
        <s v="4,83,83,55,244.70"/>
        <s v="7,00,61,50,132.10"/>
        <s v="2,79,05,08,599.50"/>
        <s v="3,76,17,55,870.30"/>
        <s v="3,42,90,85,601.55"/>
        <s v="4,41,60,49,471.85"/>
        <s v="4,09,02,32,724.05"/>
        <s v="4,52,37,60,184.35"/>
        <s v="5,57,48,23,517.40"/>
        <s v="1,96,74,21,016.75"/>
        <s v="1,72,72,46,807.20"/>
        <s v="1,87,80,93,951.25"/>
        <s v="2,80,40,03,202.10"/>
        <s v="2,98,11,29,985.50"/>
        <s v="3,47,12,63,391.90"/>
        <s v="3,52,43,52,117.45"/>
        <s v="4,90,32,12,151.45"/>
        <s v="2,79,52,95,146.10"/>
        <s v="2,27,83,04,897.95"/>
        <s v="2,65,10,95,271.00"/>
        <s v="3,75,54,05,086.00"/>
        <s v="5,26,03,84,045.65"/>
        <s v="4,15,93,08,564.50"/>
        <s v="1,72,86,92,251.50"/>
        <s v="1,43,75,23,748.70"/>
        <s v="2,64,68,35,537.10"/>
        <s v="2,82,91,38,782.25"/>
        <s v="2,37,53,24,609.65"/>
        <s v="32,86,62,055.15"/>
        <s v="1,88,88,85,758.90"/>
        <s v="1,55,20,18,196.90"/>
        <s v="2,89,16,20,666.80"/>
        <s v="2,03,12,96,887.95"/>
        <s v="3,42,83,83,501.50"/>
        <s v="4,05,99,15,039.85"/>
        <s v="2,71,32,31,089.50"/>
        <s v="1,58,71,69,763.60"/>
        <s v="4,29,35,26,664.30"/>
        <s v="28,92,64,20,088.25"/>
        <s v="11,08,45,79,616.15"/>
        <s v="7,04,70,04,275.90"/>
        <s v="4,25,36,34,730.25"/>
        <s v="14,37,30,87,646.70"/>
        <s v="64,15,64,47,743.80"/>
        <s v="57,82,54,83,120.90"/>
        <s v="18,33,61,99,561.95"/>
        <s v="19,75,91,55,358.90"/>
        <s v="14,52,35,04,974.75"/>
        <s v="5,78,00,40,717.60"/>
        <s v="8,00,99,40,320.70"/>
        <s v="9,37,95,61,819.45"/>
        <s v="14,58,04,86,604.40"/>
        <s v="6,93,17,28,099.20"/>
        <s v="5,13,80,37,764.30"/>
        <s v="9,80,91,37,609.45"/>
        <s v="7,46,90,27,877.10"/>
        <s v="4,26,87,77,915.65"/>
        <s v="5,85,77,41,774.50"/>
        <s v="4,84,74,07,216.00"/>
        <s v="11,56,40,85,525.15"/>
        <s v="4,27,76,89,534.20"/>
        <s v="8,44,81,46,788.55"/>
        <s v="7,75,75,72,526.85"/>
        <s v="60,37,08,40,646.55"/>
        <s v="8,96,12,46,158.70"/>
        <s v="9,74,38,25,898.60"/>
        <s v="5,53,01,00,075.95"/>
        <s v="8,74,26,14,470.70"/>
        <s v="11,05,00,48,556.25"/>
        <s v="6,20,34,81,301.70"/>
        <s v="5,56,75,09,144.40"/>
        <s v="4,35,53,39,346.30"/>
        <s v="7,71,42,32,714.00"/>
        <s v="8,67,62,48,061.65"/>
        <s v="7,46,11,40,978.65"/>
        <s v="5,89,39,78,244.30"/>
        <s v="5,52,27,30,668.25"/>
        <s v="5,38,21,24,760.65"/>
        <s v="16,79,44,41,913.65"/>
        <s v="7,44,19,88,265.30"/>
        <s v="13,40,38,37,889.00"/>
        <s v="9,62,82,39,019.20"/>
        <s v="8,32,55,10,841.40"/>
        <s v="14,82,20,76,397.20"/>
        <s v="8,59,52,21,638.95"/>
        <s v="6,99,60,49,793.70"/>
        <s v="6,64,79,05,451.95"/>
        <s v="6,79,60,02,063.65"/>
        <s v="5,35,02,39,514.35"/>
        <s v="5,00,50,53,690.50"/>
        <s v="3,45,88,03,688.00"/>
        <s v="3,85,07,09,760.90"/>
        <s v="5,59,41,82,379.70"/>
        <s v="6,54,24,84,814.65"/>
        <s v="7,06,71,00,536.90"/>
        <s v="5,82,91,41,012.10"/>
        <s v="4,75,25,17,820.15"/>
        <s v="5,39,85,71,886.00"/>
        <s v="3,68,56,76,235.05"/>
        <s v="6,48,18,55,202.20"/>
        <s v="5,62,57,07,089.65"/>
        <s v="3,72,11,77,336.10"/>
        <s v="4,41,93,38,030.60"/>
        <s v="4,41,08,31,106.00"/>
        <s v="3,84,80,76,358.25"/>
        <s v="39,83,43,988.75"/>
        <s v="3,52,90,12,588.20"/>
        <s v="3,94,52,24,169.30"/>
        <s v="6,24,44,61,431.90"/>
        <s v="2,77,47,47,690.85"/>
        <s v="2,38,61,51,544.55"/>
        <s v="3,78,59,08,989.05"/>
        <s v="10,05,22,56,475.10"/>
        <s v="11,40,37,63,726.10"/>
        <s v="6,83,56,27,396.35"/>
        <s v="9,29,00,11,236.80"/>
        <s v="4,51,83,20,848.55"/>
        <s v="2,94,44,32,546.60"/>
        <s v="3,62,19,07,779.40"/>
        <s v="2,94,51,44,032.25"/>
        <s v="2,93,33,89,321.75"/>
        <s v="2,81,12,59,467.70"/>
        <s v="7,39,70,54,019.95"/>
        <s v="4,19,77,48,362.70"/>
        <s v="2,83,21,69,851.80"/>
        <s v="3,73,46,40,011.85"/>
        <s v="4,54,07,71,025.65"/>
        <s v="2,42,95,32,121.50"/>
        <s v="1,85,75,68,319.50"/>
        <s v="2,67,96,74,649.95"/>
        <s v="4,65,69,32,148.25"/>
        <s v="2,27,13,68,817.95"/>
        <s v="3,25,46,71,241.05"/>
        <s v="3,53,80,30,814.20"/>
        <s v="5,27,32,14,333.20"/>
        <s v="5,21,74,64,090.25"/>
        <s v="3,03,17,26,638.60"/>
        <s v="5,07,32,27,670.15"/>
        <s v="1,85,79,95,179.50"/>
        <s v="4,66,55,50,155.30"/>
        <s v="2,04,80,70,862.50"/>
        <s v="1,99,68,68,646.30"/>
        <s v="2,47,33,12,213.75"/>
        <s v="6,80,21,49,701.55"/>
        <s v="4,42,69,76,478.70"/>
        <s v="6,87,31,81,126.10"/>
        <s v="3,60,75,75,910.50"/>
        <s v="2,72,16,50,623.40"/>
        <s v="4,18,05,48,928.95"/>
        <s v="6,57,33,68,242.40"/>
        <s v="10,74,48,38,041.40"/>
        <s v="17,15,36,65,502.90"/>
        <s v="5,19,25,83,624.45"/>
        <s v="5,54,63,98,277.35"/>
        <s v="2,52,01,25,368.65"/>
        <s v="22,77,86,473.25"/>
        <s v="9,65,74,85,170.60"/>
        <s v="10,52,14,07,989.95"/>
        <s v="23,05,07,29,208.95"/>
        <s v="11,84,29,11,664.85"/>
        <s v="8,54,13,06,058.00"/>
        <s v="5,32,18,41,029.35"/>
        <s v="6,24,86,51,475.65"/>
        <s v="6,40,84,54,413.45"/>
        <s v="21,44,86,93,814.45"/>
        <s v="31,14,40,98,467.80"/>
        <s v="63,69,18,14,268.95"/>
        <s v="25,96,92,15,655.60"/>
        <s v="18,71,37,84,941.80"/>
        <s v="15,20,43,07,672.25"/>
        <s v="16,03,01,74,654.60"/>
        <s v="13,50,25,65,941.05"/>
        <s v="9,75,23,55,044.00"/>
        <s v="10,31,71,33,491.70"/>
        <s v="13,74,25,75,345.95"/>
        <s v="5,81,37,79,346.75"/>
        <s v="4,62,65,99,834.50"/>
        <s v="4,48,09,42,189.50"/>
        <s v="15,05,72,60,547.20"/>
        <s v="10,40,97,68,963.35"/>
        <s v="5,38,30,86,693.10"/>
        <s v="6,80,19,83,095.80"/>
        <s v="16,21,88,11,241.75"/>
        <s v="3,06,02,30,005.50"/>
        <s v="2,64,26,20,638.30"/>
        <s v="4,72,51,65,851.20"/>
        <s v="3,65,41,96,666.50"/>
        <s v="3,33,10,71,411.90"/>
        <s v="2,08,75,49,223.60"/>
        <s v="3,58,59,41,290.20"/>
        <s v="2,88,28,81,547.45"/>
        <s v="1,81,75,56,522.45"/>
        <s v="2,78,73,01,793.45"/>
        <s v="2,32,48,51,552.85"/>
        <s v="2,23,12,95,323.25"/>
        <s v="3,07,96,03,432.30"/>
        <s v="3,15,04,50,900.40"/>
        <s v="3,11,49,56,135.35"/>
        <s v="1,98,80,13,002.45"/>
        <s v="4,31,54,94,351.30"/>
        <s v="2,06,79,11,056.30"/>
        <s v="3,29,50,71,825.30"/>
        <s v="5,95,64,90,441.70"/>
        <s v="3,21,39,35,332.10"/>
        <s v="5,14,02,61,264.10"/>
        <s v="7,65,54,20,169.35"/>
        <s v="19,75,62,22,591.20"/>
        <s v="10,66,55,13,275.40"/>
        <s v="6,85,65,87,918.85"/>
        <s v="6,60,51,15,019.85"/>
        <s v="5,90,90,30,045.95"/>
        <s v="6,83,47,51,356.50"/>
        <s v="2,42,74,22,875.50"/>
        <s v="31,96,41,38,144.90"/>
        <s v="6,84,26,34,919.75"/>
        <s v="3,76,06,40,089.45"/>
        <s v="2,98,71,71,671.05"/>
        <s v="1,73,53,04,543.20"/>
        <s v="2,04,28,56,651.95"/>
        <s v="4,29,01,66,315.45"/>
        <s v="4,30,60,61,295.45"/>
        <s v="4,24,74,69,323.35"/>
        <s v="5,01,14,31,416.40"/>
        <s v="4,03,43,10,722.25"/>
        <s v="4,77,38,06,258.80"/>
        <s v="5,57,54,88,281.30"/>
        <s v="10,59,66,22,023.00"/>
        <s v="5,57,45,22,547.20"/>
        <s v="4,16,53,31,937.70"/>
        <s v="3,64,39,70,198.90"/>
        <s v="2,21,44,82,305.45"/>
        <s v="3,74,10,32,752.50"/>
        <s v="4,50,02,53,379.55"/>
        <s v="2,39,18,33,600.30"/>
        <s v="2,62,86,02,980.45"/>
        <s v="3,89,32,61,252.90"/>
        <s v="2,42,68,19,628.05"/>
        <s v="2,08,59,23,615.00"/>
        <s v="2,07,58,70,221.65"/>
        <s v="2,46,22,53,271.00"/>
        <s v="4,85,05,32,175.85"/>
        <s v="5,36,31,10,702.50"/>
        <s v="2,73,38,47,597.00"/>
        <s v="3,14,01,74,328.15"/>
        <s v="2,83,03,30,764.10"/>
        <s v="4,82,56,55,929.40"/>
        <s v="7,20,20,70,990.95"/>
        <s v="5,07,78,13,498.35"/>
        <s v="4,31,59,05,628.80"/>
        <s v="4,10,00,82,235.90"/>
        <s v="3,07,15,15,058.50"/>
        <s v="5,28,15,20,091.15"/>
        <s v="5,52,66,53,927.85"/>
        <s v="2,83,14,87,771.15"/>
        <s v="9,06,71,60,403.25"/>
        <s v="3,26,02,61,307.65"/>
        <s v="1,36,59,78,649.80"/>
        <s v="1,15,46,79,471.05"/>
        <s v="1,67,88,28,085.90"/>
        <s v="8,05,16,50,401.60"/>
        <s v="2,39,01,16,580.35"/>
        <s v="3,10,16,43,813.50"/>
        <s v="3,46,06,43,283.00"/>
        <s v="3,62,18,06,256.25"/>
        <s v="2,67,28,24,868.15"/>
        <s v="5,30,85,47,546.20"/>
        <s v="3,84,70,73,277.65"/>
        <s v="4,29,68,44,785.40"/>
        <s v="8,49,14,07,655.95"/>
        <s v="3,41,22,92,323.30"/>
        <s v="90,09,41,095.70"/>
        <s v="3,06,77,82,789.65"/>
        <s v="2,18,08,14,160.90"/>
        <s v="5,04,82,06,527.55"/>
        <s v="3,81,59,33,591.20"/>
        <s v="2,46,29,24,364.35"/>
        <s v="1,70,32,52,458.10"/>
        <s v="1,72,92,82,684.85"/>
        <s v="2,52,83,02,994.40"/>
        <s v="1,82,61,62,603.30"/>
        <s v="1,38,35,79,147.35"/>
        <s v="1,53,30,55,140.35"/>
        <s v="49,13,62,35,919.80"/>
        <s v="45,82,55,77,129.80"/>
        <s v="17,13,63,26,445.75"/>
        <s v="16,91,08,52,564.55"/>
        <s v="40,68,75,07,250.30"/>
        <s v="35,64,76,47,294.05"/>
        <s v="20,15,44,78,534.95"/>
        <s v="9,35,19,20,237.75"/>
        <s v="10,21,81,12,745.45"/>
        <s v="5,85,31,85,591.90"/>
        <s v="8,34,75,17,764.70"/>
        <s v="3,12,27,17,935.80"/>
        <s v="2,39,93,62,640.00"/>
        <s v="2,77,03,52,936.95"/>
        <s v="1,75,42,95,160.95"/>
        <s v="6,45,06,52,651.50"/>
        <s v="4,88,36,46,911.65"/>
        <s v="1,64,76,11,587.45"/>
        <s v="2,65,83,51,621.40"/>
        <s v="2,44,57,22,193.65"/>
        <s v="2,85,73,43,239.65"/>
        <s v="3,21,38,74,651.15"/>
        <s v="1,78,46,98,418.85"/>
        <s v="2,75,29,41,269.15"/>
        <s v="2,14,02,70,239.05"/>
        <s v="4,79,91,17,988.60"/>
        <s v="19,94,66,99,899.40"/>
        <s v="6,94,96,98,941.75"/>
        <s v="7,36,56,24,004.95"/>
        <s v="2,99,96,70,038.70"/>
        <s v="2,41,51,57,562.20"/>
        <s v="2,80,04,36,508.45"/>
        <s v="2,55,86,10,624.95"/>
        <s v="2,20,71,38,296.70"/>
        <s v="1,75,58,47,995.05"/>
        <s v="3,41,52,26,216.40"/>
        <s v="3,55,79,36,653.65"/>
        <s v="9,76,88,56,958.40"/>
        <s v="3,40,30,67,723.05"/>
        <s v="6,99,49,28,383.40"/>
        <s v="2,69,79,55,308.80"/>
        <s v="2,52,04,75,244.10"/>
        <s v="2,89,42,94,831.25"/>
        <s v="2,69,62,81,355.85"/>
        <s v="1,97,04,68,165.95"/>
        <s v="3,26,32,39,949.80"/>
        <s v="2,35,92,76,146.20"/>
        <s v="2,20,42,56,354.50"/>
        <s v="1,81,51,53,515.15"/>
        <s v="5,90,03,14,531.05"/>
        <s v="4,59,23,96,053.15"/>
        <s v="2,26,20,38,363.60"/>
        <s v="1,85,41,42,528.10"/>
        <s v="1,58,64,56,760.25"/>
        <s v="1,30,45,21,649.55"/>
        <s v="1,57,47,35,886.10"/>
        <s v="2,09,00,22,372.55"/>
        <s v="1,70,13,00,256.05"/>
        <s v="11,53,78,30,168.85"/>
        <s v="4,50,41,88,676.65"/>
        <s v="5,85,97,73,361.40"/>
        <s v="5,54,23,34,587.70"/>
        <s v="3,05,30,75,121.80"/>
        <s v="2,50,30,16,206.15"/>
        <s v="2,63,19,29,703.40"/>
        <s v="2,37,71,74,267.60"/>
        <s v="3,31,51,17,241.20"/>
        <s v="2,18,45,57,734.20"/>
        <s v="1,71,45,98,343.80"/>
        <s v="1,99,93,78,621.45"/>
        <s v="4,97,06,20,201.20"/>
        <s v="3,31,09,69,099.90"/>
        <s v="1,82,01,74,526.55"/>
        <s v="3,04,10,80,723.45"/>
        <s v="2,00,39,26,697.65"/>
        <s v="1,84,06,25,572.05"/>
        <s v="2,12,29,33,082.85"/>
        <s v="2,13,20,56,208.05"/>
        <s v="2,34,01,66,133.75"/>
        <s v="1,67,91,15,282.10"/>
        <s v="2,09,27,13,952.25"/>
        <s v="2,01,16,78,785.85"/>
        <s v="2,39,52,19,525.60"/>
        <s v="6,02,78,57,218.35"/>
        <s v="2,60,57,22,416.05"/>
        <s v="2,40,03,95,656.25"/>
        <s v="1,78,49,70,696.70"/>
        <s v="2,51,67,60,395.70"/>
        <s v="3,95,56,17,248.30"/>
        <s v="4,28,57,04,793.55"/>
        <s v="1,17,20,61,738.60"/>
        <s v="1,35,02,73,183.90"/>
        <s v="2,45,97,14,750.35"/>
        <s v="2,85,92,60,997.15"/>
        <s v="3,44,08,40,018.95"/>
        <s v="2,78,34,76,131.90"/>
        <s v="2,24,33,51,290.65"/>
        <s v="2,27,44,74,104.55"/>
        <s v="2,75,98,03,465.60"/>
        <s v="2,14,04,33,979.60"/>
        <s v="2,55,59,05,276.10"/>
        <s v="1,90,67,93,922.10"/>
        <s v="1,88,76,64,919.20"/>
        <s v="1,64,58,17,831.60"/>
        <s v="1,45,69,13,025.00"/>
        <s v="3,34,26,34,532.40"/>
        <s v="1,61,72,15,136.90"/>
        <s v="1,57,87,59,462.30"/>
        <s v="1,93,76,17,333.20"/>
        <s v="4,55,39,08,748.70"/>
        <s v="10,30,26,95,961.60"/>
        <s v="3,64,99,27,549.30"/>
        <s v="2,38,17,61,493.00"/>
        <s v="3,19,65,41,646.50"/>
        <s v="2,26,08,39,448.00"/>
        <s v="5,16,16,86,867.40"/>
        <s v="4,41,19,03,804.50"/>
        <s v="1,90,89,34,668.10"/>
        <s v="3,88,60,46,496.80"/>
        <s v="4,19,45,42,095.70"/>
        <s v="1,74,12,34,569.50"/>
        <s v="1,58,89,60,279.60"/>
        <s v="1,32,47,89,276.20"/>
        <s v="2,26,00,32,832.60"/>
        <s v="2,45,05,71,901.80"/>
        <s v="1,41,22,34,006.30"/>
        <s v="1,31,20,47,698.40"/>
        <s v="1,45,72,16,561.00"/>
        <s v="2,03,42,55,480.20"/>
        <s v="1,73,23,90,518.50"/>
        <s v="2,55,69,83,906.10"/>
        <s v="2,38,81,30,046.80"/>
        <s v="1,36,83,23,179.00"/>
        <s v="1,69,01,06,619.00"/>
        <s v="1,62,40,90,172.10"/>
        <s v="4,39,48,37,920.10"/>
        <s v="5,47,34,55,604.00"/>
        <s v="1,93,55,25,579.10"/>
        <s v="2,44,69,39,967.50"/>
        <s v="1,74,15,71,339.80"/>
        <s v="2,41,73,91,113.60"/>
        <s v="1,75,80,33,674.00"/>
        <s v="1,64,61,95,888.90"/>
        <s v="1,67,31,59,035.30"/>
        <s v="7,34,87,11,678.30"/>
        <s v="1,95,08,02,535.10"/>
        <s v="2,51,39,87,078.10"/>
        <s v="2,32,90,38,620.00"/>
        <s v="3,42,93,92,562.90"/>
        <s v="10,70,01,80,116.50"/>
        <s v="1,82,26,13,877.40"/>
        <s v="1,91,41,51,988.60"/>
        <s v="1,63,47,20,496.70"/>
        <s v="1,31,61,81,025.70"/>
        <s v="96,24,78,336.90"/>
        <s v="1,06,45,98,371.00"/>
        <s v="92,48,20,759.70"/>
        <s v="1,02,73,13,944.80"/>
        <s v="79,27,77,105.90"/>
        <s v="1,00,30,79,094.40"/>
        <s v="1,38,25,79,729.90"/>
        <s v="98,39,07,052.20"/>
        <s v="1,79,25,15,079.70"/>
        <s v="2,06,54,38,554.40"/>
        <s v="1,24,77,52,864.90"/>
        <s v="96,59,53,134.90"/>
        <s v="1,00,63,40,863.60"/>
        <s v="82,67,31,600.80"/>
        <s v="66,17,75,799.00"/>
        <s v="1,09,05,98,540.70"/>
        <s v="1,09,05,36,114.10"/>
        <s v="1,07,67,00,049.20"/>
        <s v="66,59,16,830.10"/>
        <s v="3,59,51,67,944.00"/>
        <s v="2,33,08,21,711.40"/>
        <s v="1,35,95,14,762.40"/>
        <s v="1,34,57,85,609.30"/>
        <s v="1,45,99,65,783.80"/>
        <s v="3,43,21,83,084.70"/>
        <s v="5,57,84,04,691.30"/>
        <s v="5,36,48,00,460.40"/>
        <s v="2,46,31,07,533.50"/>
        <s v="1,89,98,84,902.70"/>
        <s v="2,28,12,82,532.50"/>
        <s v="2,31,27,43,728.00"/>
        <s v="2,53,26,11,818.70"/>
        <s v="1,86,42,08,978.30"/>
        <s v="1,05,37,78,241.00"/>
        <s v="1,36,59,92,606.00"/>
        <s v="1,25,73,53,106.10"/>
        <s v="2,43,41,85,935.90"/>
        <s v="2,08,37,29,401.30"/>
        <s v="1,79,64,67,753.50"/>
        <s v="96,82,57,145.60"/>
        <s v="1,10,03,61,913.10"/>
        <s v="1,01,12,51,185.30"/>
        <s v="89,97,99,540.00"/>
        <s v="1,00,73,21,887.50"/>
        <s v="1,25,82,25,214.30"/>
        <s v="85,41,30,058.50"/>
        <s v="91,28,61,255.60"/>
        <s v="5,05,59,16,547.10"/>
        <s v="1,28,36,38,080.00"/>
        <s v="71,24,05,119.00"/>
        <s v="1,80,56,72,317.40"/>
        <s v="1,23,57,34,218.70"/>
        <s v="1,69,56,70,672.20"/>
        <s v="20,07,22,48,387.70"/>
        <s v="18,36,85,42,067.50"/>
        <s v="14,95,51,50,460.50"/>
        <s v="4,55,64,38,133.60"/>
        <s v="3,88,55,60,965.20"/>
        <s v="2,66,80,58,103.20"/>
        <s v="2,55,95,63,054.80"/>
        <s v="1,79,07,19,447.80"/>
        <s v="3,98,83,12,895.90"/>
        <s v="2,37,53,28,265.00"/>
        <s v="1,68,67,80,114.40"/>
        <s v="2,88,95,48,494.10"/>
        <s v="2,68,46,38,963.00"/>
        <s v="1,65,84,13,980.20"/>
        <s v="1,76,15,12,977.80"/>
      </sharedItems>
    </cacheField>
    <cacheField name="No of trades " numFmtId="0">
      <sharedItems containsMixedTypes="1" containsNumber="1" containsInteger="1" minValue="5248" maxValue="99927" count="522">
        <s v="1,04,932"/>
        <s v="1,24,950"/>
        <s v="1,29,014"/>
        <n v="65954"/>
        <n v="91658"/>
        <s v="1,81,137"/>
        <s v="1,47,400"/>
        <n v="64129"/>
        <n v="66834"/>
        <n v="59448"/>
        <n v="41768"/>
        <n v="53694"/>
        <n v="72931"/>
        <n v="44391"/>
        <n v="62473"/>
        <n v="35719"/>
        <n v="42234"/>
        <n v="75079"/>
        <n v="81407"/>
        <n v="70447"/>
        <s v="1,24,922"/>
        <n v="64651"/>
        <n v="59609"/>
        <n v="59652"/>
        <n v="70051"/>
        <n v="56575"/>
        <n v="59299"/>
        <n v="97378"/>
        <n v="42165"/>
        <n v="39591"/>
        <n v="40653"/>
        <n v="67638"/>
        <n v="56041"/>
        <n v="81837"/>
        <n v="79580"/>
        <s v="1,28,777"/>
        <n v="63625"/>
        <n v="53630"/>
        <n v="52388"/>
        <n v="79883"/>
        <s v="1,27,122"/>
        <n v="82880"/>
        <n v="43846"/>
        <n v="33475"/>
        <n v="58323"/>
        <n v="63026"/>
        <n v="45963"/>
        <n v="9273"/>
        <n v="42537"/>
        <n v="33170"/>
        <n v="73917"/>
        <n v="43810"/>
        <n v="78926"/>
        <n v="90480"/>
        <n v="58112"/>
        <n v="38958"/>
        <n v="91515"/>
        <s v="4,29,582"/>
        <s v="1,76,974"/>
        <s v="1,28,913"/>
        <n v="79854"/>
        <s v="2,26,984"/>
        <s v="7,53,504"/>
        <s v="7,80,601"/>
        <s v="2,65,235"/>
        <s v="2,89,285"/>
        <s v="2,02,891"/>
        <n v="91033"/>
        <s v="1,18,936"/>
        <s v="1,40,194"/>
        <s v="1,80,486"/>
        <s v="1,00,133"/>
        <n v="81742"/>
        <s v="1,71,337"/>
        <s v="1,39,231"/>
        <n v="76777"/>
        <s v="1,24,764"/>
        <n v="96864"/>
        <s v="1,08,070"/>
        <n v="65085"/>
        <s v="1,16,403"/>
        <s v="1,16,025"/>
        <s v="7,62,896"/>
        <s v="1,22,929"/>
        <s v="1,25,926"/>
        <n v="77114"/>
        <s v="1,24,090"/>
        <s v="1,46,816"/>
        <n v="82014"/>
        <n v="81003"/>
        <n v="66077"/>
        <n v="81017"/>
        <s v="1,16,205"/>
        <s v="1,37,932"/>
        <n v="88297"/>
        <n v="83748"/>
        <s v="1,01,673"/>
        <s v="1,60,772"/>
        <s v="1,35,262"/>
        <s v="2,76,784"/>
        <s v="1,52,019"/>
        <s v="1,15,716"/>
        <s v="2,11,723"/>
        <s v="1,23,968"/>
        <s v="1,32,489"/>
        <s v="1,48,672"/>
        <s v="1,22,378"/>
        <s v="1,26,898"/>
        <n v="92034"/>
        <n v="64420"/>
        <n v="73578"/>
        <s v="1,01,676"/>
        <n v="90530"/>
        <n v="84990"/>
        <n v="87952"/>
        <n v="61717"/>
        <s v="1,05,900"/>
        <n v="88963"/>
        <n v="84335"/>
        <s v="1,04,868"/>
        <n v="65439"/>
        <n v="98070"/>
        <n v="95429"/>
        <n v="64364"/>
        <n v="9160"/>
        <n v="59907"/>
        <n v="68687"/>
        <s v="1,11,432"/>
        <n v="52628"/>
        <n v="48887"/>
        <n v="86164"/>
        <s v="2,37,808"/>
        <s v="2,46,625"/>
        <s v="1,20,251"/>
        <s v="1,59,589"/>
        <n v="92875"/>
        <n v="64232"/>
        <n v="67248"/>
        <n v="63264"/>
        <n v="66405"/>
        <n v="66957"/>
        <s v="1,41,506"/>
        <n v="71000"/>
        <n v="55071"/>
        <n v="55622"/>
        <n v="99323"/>
        <n v="37497"/>
        <n v="37073"/>
        <n v="38430"/>
        <n v="55670"/>
        <n v="40387"/>
        <n v="73457"/>
        <n v="48602"/>
        <s v="1,06,820"/>
        <n v="91721"/>
        <n v="51253"/>
        <n v="61219"/>
        <n v="36665"/>
        <s v="1,03,832"/>
        <n v="51695"/>
        <n v="51392"/>
        <n v="50263"/>
        <s v="1,69,345"/>
        <n v="93663"/>
        <s v="1,26,554"/>
        <n v="73865"/>
        <n v="57225"/>
        <s v="1,16,557"/>
        <n v="79999"/>
        <s v="1,15,926"/>
        <s v="1,96,967"/>
        <n v="93983"/>
        <s v="1,44,012"/>
        <n v="74283"/>
        <n v="5248"/>
        <s v="1,35,865"/>
        <n v="95242"/>
        <s v="3,27,015"/>
        <s v="1,79,402"/>
        <s v="1,40,021"/>
        <n v="95508"/>
        <n v="98310"/>
        <s v="1,12,565"/>
        <s v="2,90,001"/>
        <s v="4,14,787"/>
        <s v="8,48,267"/>
        <s v="6,12,958"/>
        <s v="2,78,600"/>
        <s v="1,46,457"/>
        <s v="1,52,562"/>
        <s v="1,21,200"/>
        <n v="74328"/>
        <n v="96083"/>
        <n v="98091"/>
        <s v="1,07,419"/>
        <n v="84944"/>
        <n v="97561"/>
        <s v="1,60,462"/>
        <s v="1,07,805"/>
        <n v="58570"/>
        <n v="58917"/>
        <s v="1,53,131"/>
        <n v="51717"/>
        <n v="54965"/>
        <n v="93900"/>
        <n v="56436"/>
        <n v="72430"/>
        <n v="42349"/>
        <n v="84099"/>
        <n v="57330"/>
        <n v="44240"/>
        <n v="85332"/>
        <n v="51794"/>
        <n v="44784"/>
        <n v="60074"/>
        <n v="80772"/>
        <n v="68966"/>
        <n v="50675"/>
        <s v="1,03,491"/>
        <n v="54185"/>
        <n v="75405"/>
        <s v="1,11,808"/>
        <n v="68832"/>
        <n v="98232"/>
        <s v="1,13,298"/>
        <s v="2,34,840"/>
        <s v="1,49,926"/>
        <s v="1,39,819"/>
        <s v="1,24,189"/>
        <n v="74727"/>
        <s v="1,07,274"/>
        <n v="43358"/>
        <s v="3,68,244"/>
        <n v="89159"/>
        <n v="70048"/>
        <n v="54922"/>
        <n v="35313"/>
        <n v="42615"/>
        <n v="56394"/>
        <n v="53089"/>
        <n v="61780"/>
        <n v="73150"/>
        <n v="43632"/>
        <n v="62349"/>
        <s v="1,00,949"/>
        <n v="77468"/>
        <n v="73749"/>
        <n v="43530"/>
        <n v="51072"/>
        <n v="45054"/>
        <n v="75683"/>
        <n v="75178"/>
        <n v="55050"/>
        <n v="54027"/>
        <n v="89512"/>
        <n v="46440"/>
        <n v="44149"/>
        <n v="44150"/>
        <n v="37955"/>
        <n v="79202"/>
        <n v="76536"/>
        <n v="66944"/>
        <n v="53383"/>
        <n v="57019"/>
        <n v="83624"/>
        <n v="83714"/>
        <n v="92240"/>
        <n v="66641"/>
        <n v="83884"/>
        <n v="58703"/>
        <n v="99490"/>
        <n v="98514"/>
        <n v="60904"/>
        <s v="1,51,256"/>
        <n v="72560"/>
        <n v="34403"/>
        <n v="35471"/>
        <n v="68030"/>
        <n v="47617"/>
        <n v="69473"/>
        <n v="99927"/>
        <n v="74396"/>
        <n v="63401"/>
        <s v="1,25,219"/>
        <n v="89897"/>
        <s v="1,00,647"/>
        <s v="1,45,520"/>
        <n v="82267"/>
        <n v="13462"/>
        <n v="87457"/>
        <n v="59721"/>
        <n v="99615"/>
        <n v="84570"/>
        <n v="49840"/>
        <n v="44808"/>
        <n v="53386"/>
        <n v="67503"/>
        <n v="66067"/>
        <n v="42870"/>
        <n v="44585"/>
        <s v="7,92,663"/>
        <s v="7,11,465"/>
        <s v="2,52,789"/>
        <s v="3,16,539"/>
        <s v="6,20,492"/>
        <s v="5,90,705"/>
        <s v="3,15,730"/>
        <s v="1,54,130"/>
        <s v="1,60,160"/>
        <s v="1,10,526"/>
        <s v="1,60,996"/>
        <n v="56172"/>
        <n v="53488"/>
        <n v="56796"/>
        <n v="43901"/>
        <s v="1,36,426"/>
        <n v="86754"/>
        <n v="39040"/>
        <n v="52797"/>
        <n v="56893"/>
        <n v="74211"/>
        <n v="75322"/>
        <n v="54920"/>
        <n v="70017"/>
        <n v="63476"/>
        <n v="73559"/>
        <s v="3,38,992"/>
        <s v="1,24,232"/>
        <s v="1,40,672"/>
        <n v="73015"/>
        <n v="52144"/>
        <n v="88877"/>
        <n v="69952"/>
        <n v="74141"/>
        <n v="60127"/>
        <s v="1,08,945"/>
        <s v="1,04,906"/>
        <s v="2,39,191"/>
        <n v="89565"/>
        <s v="1,69,165"/>
        <n v="72852"/>
        <n v="62157"/>
        <n v="75686"/>
        <n v="70492"/>
        <n v="57688"/>
        <n v="82631"/>
        <n v="70412"/>
        <n v="68907"/>
        <n v="54577"/>
        <s v="1,46,148"/>
        <n v="96876"/>
        <n v="60333"/>
        <n v="63131"/>
        <n v="55343"/>
        <n v="43537"/>
        <n v="56800"/>
        <n v="65292"/>
        <n v="48267"/>
        <s v="2,17,468"/>
        <s v="1,17,486"/>
        <s v="1,33,317"/>
        <s v="1,51,036"/>
        <s v="1,01,955"/>
        <n v="75933"/>
        <n v="77627"/>
        <n v="74127"/>
        <n v="85375"/>
        <n v="73399"/>
        <n v="56102"/>
        <n v="63169"/>
        <n v="99109"/>
        <s v="1,05,782"/>
        <n v="56864"/>
        <n v="81480"/>
        <n v="81763"/>
        <n v="44934"/>
        <n v="57381"/>
        <n v="54661"/>
        <n v="56794"/>
        <n v="52311"/>
        <n v="52613"/>
        <n v="47968"/>
        <n v="42002"/>
        <n v="55254"/>
        <n v="55299"/>
        <n v="39593"/>
        <n v="46534"/>
        <n v="58779"/>
        <n v="81185"/>
        <n v="70667"/>
        <n v="38905"/>
        <n v="44789"/>
        <n v="59356"/>
        <n v="68843"/>
        <n v="91075"/>
        <n v="61791"/>
        <n v="56281"/>
        <n v="61931"/>
        <n v="64533"/>
        <n v="49754"/>
        <n v="65818"/>
        <n v="49163"/>
        <n v="45565"/>
        <n v="44335"/>
        <n v="45640"/>
        <n v="82782"/>
        <n v="48214"/>
        <n v="43294"/>
        <n v="52676"/>
        <n v="97216"/>
        <s v="1,83,049"/>
        <n v="76489"/>
        <n v="72371"/>
        <n v="77928"/>
        <n v="54744"/>
        <n v="89860"/>
        <n v="88886"/>
        <n v="46754"/>
        <s v="1,06,591"/>
        <n v="64469"/>
        <n v="41131"/>
        <n v="42558"/>
        <n v="34568"/>
        <n v="50284"/>
        <n v="37154"/>
        <n v="31870"/>
        <n v="37644"/>
        <n v="26261"/>
        <n v="41626"/>
        <n v="37146"/>
        <n v="49113"/>
        <n v="48961"/>
        <n v="34151"/>
        <n v="38579"/>
        <n v="53932"/>
        <n v="56427"/>
        <n v="86665"/>
        <n v="37014"/>
        <n v="57018"/>
        <n v="41308"/>
        <n v="41826"/>
        <n v="34502"/>
        <n v="40514"/>
        <n v="46707"/>
        <n v="67242"/>
        <n v="34421"/>
        <n v="53316"/>
        <n v="34059"/>
        <n v="57666"/>
        <s v="1,21,691"/>
        <n v="51699"/>
        <n v="37539"/>
        <n v="34383"/>
        <n v="29883"/>
        <n v="25138"/>
        <n v="30384"/>
        <n v="24369"/>
        <n v="25511"/>
        <n v="24631"/>
        <n v="26150"/>
        <n v="34764"/>
        <n v="24377"/>
        <n v="37057"/>
        <n v="43962"/>
        <n v="32389"/>
        <n v="28077"/>
        <n v="25897"/>
        <n v="24447"/>
        <n v="22026"/>
        <n v="30247"/>
        <n v="33834"/>
        <n v="32528"/>
        <n v="22733"/>
        <n v="74728"/>
        <n v="50438"/>
        <n v="35680"/>
        <n v="36761"/>
        <n v="35196"/>
        <n v="72389"/>
        <s v="1,01,023"/>
        <s v="1,18,272"/>
        <n v="61725"/>
        <n v="42397"/>
        <n v="39420"/>
        <n v="45655"/>
        <n v="58469"/>
        <n v="34030"/>
        <n v="24817"/>
        <n v="34341"/>
        <n v="28277"/>
        <n v="49449"/>
        <n v="55327"/>
        <n v="50217"/>
        <n v="29502"/>
        <n v="37899"/>
        <n v="28773"/>
        <n v="29912"/>
        <n v="28096"/>
        <n v="33564"/>
        <n v="25802"/>
        <n v="26122"/>
        <n v="91785"/>
        <n v="27629"/>
        <n v="20087"/>
        <n v="33207"/>
        <n v="30311"/>
        <n v="35404"/>
        <s v="2,38,677"/>
        <s v="2,00,598"/>
        <s v="1,67,336"/>
        <n v="60770"/>
        <n v="50400"/>
        <n v="46432"/>
        <n v="48219"/>
        <n v="38461"/>
        <n v="57732"/>
        <n v="37872"/>
        <n v="29063"/>
        <n v="48731"/>
        <n v="40794"/>
        <n v="28591"/>
        <n v="30769"/>
      </sharedItems>
    </cacheField>
    <cacheField name="Daily_Change_Pct" numFmtId="0">
      <sharedItems containsSemiMixedTypes="0" containsString="0" containsNumber="1" minValue="-22.606769448874708" maxValue="16.91490202275601"/>
    </cacheField>
    <cacheField name="High_Low_Spread" numFmtId="4">
      <sharedItems containsSemiMixedTypes="0" containsString="0" containsNumber="1" minValue="19" maxValue="786.05000000000018"/>
    </cacheField>
    <cacheField name="Vol_Per_Trade" numFmtId="0">
      <sharedItems containsSemiMixedTypes="0" containsString="0" containsNumber="1" minValue="9.7900161956801437" maxValue="65.181611426145494"/>
    </cacheField>
    <cacheField name="Dist_From_52WH" numFmtId="0">
      <sharedItems containsSemiMixedTypes="0" containsString="0" containsNumber="1" minValue="-48.690930787589501" maxValue="-0.4613730701466186"/>
    </cacheField>
    <cacheField name="Months (Date )" numFmtId="0" databaseField="0">
      <fieldGroup base="0">
        <rangePr groupBy="months" startDate="2023-09-04T00:00:00" endDate="2025-10-11T00:00:00"/>
        <groupItems count="14">
          <s v="&lt;04-09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-10-2025"/>
        </groupItems>
      </fieldGroup>
    </cacheField>
    <cacheField name="Quarters (Date )" numFmtId="0" databaseField="0">
      <fieldGroup base="0">
        <rangePr groupBy="quarters" startDate="2023-09-04T00:00:00" endDate="2025-10-11T00:00:00"/>
        <groupItems count="6">
          <s v="&lt;04-09-2023"/>
          <s v="Qtr1"/>
          <s v="Qtr2"/>
          <s v="Qtr3"/>
          <s v="Qtr4"/>
          <s v="&gt;11-10-2025"/>
        </groupItems>
      </fieldGroup>
    </cacheField>
    <cacheField name="Years (Date )" numFmtId="0" databaseField="0">
      <fieldGroup base="0">
        <rangePr groupBy="years" startDate="2023-09-04T00:00:00" endDate="2025-10-11T00:00:00"/>
        <groupItems count="5">
          <s v="&lt;04-09-2023"/>
          <s v="2023"/>
          <s v="2024"/>
          <s v="2025"/>
          <s v="&gt;11-10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3">
  <r>
    <x v="0"/>
    <x v="0"/>
    <n v="2454"/>
    <n v="2480"/>
    <n v="2450.0500000000002"/>
    <n v="2450.0500000000002"/>
    <n v="2470.5"/>
    <n v="2470.6"/>
    <n v="2470.54"/>
    <n v="4190"/>
    <n v="1017.45"/>
    <x v="0"/>
    <x v="0"/>
    <x v="0"/>
    <n v="0.83875839268585228"/>
    <n v="29.949999999999818"/>
    <n v="57.165154576297027"/>
    <n v="-41.035799522673031"/>
  </r>
  <r>
    <x v="1"/>
    <x v="0"/>
    <n v="2482"/>
    <n v="2501.4"/>
    <n v="2464"/>
    <n v="2470.6"/>
    <n v="2488"/>
    <n v="2494.0500000000002"/>
    <n v="2488.19"/>
    <n v="4190"/>
    <n v="1017.45"/>
    <x v="1"/>
    <x v="1"/>
    <x v="1"/>
    <n v="0.9491621468469309"/>
    <n v="37.400000000000091"/>
    <n v="51.935326130452182"/>
    <n v="-40.476133651551308"/>
  </r>
  <r>
    <x v="2"/>
    <x v="0"/>
    <n v="2494.0500000000002"/>
    <n v="2504"/>
    <n v="2471"/>
    <n v="2494.0500000000002"/>
    <n v="2489.4499999999998"/>
    <n v="2496.5"/>
    <n v="2493.7399999999998"/>
    <n v="4190"/>
    <n v="1017.45"/>
    <x v="2"/>
    <x v="2"/>
    <x v="2"/>
    <n v="9.8233796435509238E-2"/>
    <n v="33"/>
    <n v="57.484055993923143"/>
    <n v="-40.417661097852033"/>
  </r>
  <r>
    <x v="3"/>
    <x v="0"/>
    <n v="2498"/>
    <n v="2520"/>
    <n v="2485"/>
    <n v="2496.5"/>
    <n v="2506"/>
    <n v="2509.5"/>
    <n v="2506"/>
    <n v="4190"/>
    <n v="1017.45"/>
    <x v="3"/>
    <x v="3"/>
    <x v="3"/>
    <n v="0.52072902062888049"/>
    <n v="35"/>
    <n v="65.181611426145494"/>
    <n v="-40.107398568019093"/>
  </r>
  <r>
    <x v="4"/>
    <x v="0"/>
    <n v="2513.8000000000002"/>
    <n v="2538.6"/>
    <n v="2506.1"/>
    <n v="2509.5"/>
    <n v="2519"/>
    <n v="2519.3000000000002"/>
    <n v="2526.4899999999998"/>
    <n v="4190"/>
    <n v="1017.45"/>
    <x v="4"/>
    <x v="4"/>
    <x v="4"/>
    <n v="0.39051603905161114"/>
    <n v="32.5"/>
    <n v="61.543705950380762"/>
    <n v="-39.873508353221951"/>
  </r>
  <r>
    <x v="5"/>
    <x v="0"/>
    <n v="2565"/>
    <n v="2630.25"/>
    <n v="2546"/>
    <n v="2519.3000000000002"/>
    <n v="2612"/>
    <n v="2614.9499999999998"/>
    <n v="2581.13"/>
    <n v="4190"/>
    <n v="1017.45"/>
    <x v="5"/>
    <x v="5"/>
    <x v="5"/>
    <n v="3.7966895566228565"/>
    <n v="84.25"/>
    <n v="50.504540761964698"/>
    <n v="-37.590692124105018"/>
  </r>
  <r>
    <x v="6"/>
    <x v="0"/>
    <n v="2622.45"/>
    <n v="2626.6"/>
    <n v="2530"/>
    <n v="2614.9499999999998"/>
    <n v="2532.0500000000002"/>
    <n v="2535.6999999999998"/>
    <n v="2555.52"/>
    <n v="4190"/>
    <n v="1017.45"/>
    <x v="6"/>
    <x v="6"/>
    <x v="6"/>
    <n v="-3.0306506816573933"/>
    <n v="96.599999999999909"/>
    <n v="38.390597014925376"/>
    <n v="-39.482100238663485"/>
  </r>
  <r>
    <x v="7"/>
    <x v="0"/>
    <n v="2545.6999999999998"/>
    <n v="2566.9499999999998"/>
    <n v="2496"/>
    <n v="2535.6999999999998"/>
    <n v="2525"/>
    <n v="2518.9"/>
    <n v="2528.52"/>
    <n v="4190"/>
    <n v="1017.45"/>
    <x v="7"/>
    <x v="7"/>
    <x v="7"/>
    <n v="-0.66253894388136325"/>
    <n v="70.949999999999818"/>
    <n v="27.757613560167787"/>
    <n v="-39.883054892601429"/>
  </r>
  <r>
    <x v="8"/>
    <x v="0"/>
    <n v="2541.85"/>
    <n v="2545"/>
    <n v="2506.0500000000002"/>
    <n v="2518.9"/>
    <n v="2516"/>
    <n v="2519.8000000000002"/>
    <n v="2524.0500000000002"/>
    <n v="4190"/>
    <n v="1017.45"/>
    <x v="8"/>
    <x v="8"/>
    <x v="8"/>
    <n v="3.572988209139271E-2"/>
    <n v="38.949999999999818"/>
    <n v="18.231454050333664"/>
    <n v="-39.861575178997612"/>
  </r>
  <r>
    <x v="9"/>
    <x v="0"/>
    <n v="2519.8000000000002"/>
    <n v="2558"/>
    <n v="2514.1999999999998"/>
    <n v="2519.8000000000002"/>
    <n v="2537.9"/>
    <n v="2540.0500000000002"/>
    <n v="2539.1999999999998"/>
    <n v="4190"/>
    <n v="1017.45"/>
    <x v="9"/>
    <x v="9"/>
    <x v="9"/>
    <n v="0.80363520914358277"/>
    <n v="43.800000000000182"/>
    <n v="26.022759386354462"/>
    <n v="-39.378281622911693"/>
  </r>
  <r>
    <x v="10"/>
    <x v="0"/>
    <n v="2552"/>
    <n v="2555"/>
    <n v="2491"/>
    <n v="2540.0500000000002"/>
    <n v="2503"/>
    <n v="2502.4499999999998"/>
    <n v="2521.46"/>
    <n v="4190"/>
    <n v="1017.45"/>
    <x v="10"/>
    <x v="10"/>
    <x v="10"/>
    <n v="-1.4802858211452674"/>
    <n v="64"/>
    <n v="20.630075656004596"/>
    <n v="-40.275656324582343"/>
  </r>
  <r>
    <x v="11"/>
    <x v="0"/>
    <n v="2502.4"/>
    <n v="2533.65"/>
    <n v="2458.9"/>
    <n v="2502.4499999999998"/>
    <n v="2470.4"/>
    <n v="2470.3000000000002"/>
    <n v="2489.13"/>
    <n v="4190"/>
    <n v="1017.45"/>
    <x v="11"/>
    <x v="11"/>
    <x v="11"/>
    <n v="-1.2847409538651977"/>
    <n v="74.75"/>
    <n v="22.405091816590307"/>
    <n v="-41.042959427207634"/>
  </r>
  <r>
    <x v="12"/>
    <x v="0"/>
    <n v="2479.8000000000002"/>
    <n v="2503.8000000000002"/>
    <n v="2461"/>
    <n v="2470.3000000000002"/>
    <n v="2481"/>
    <n v="2479.25"/>
    <n v="2482.4"/>
    <n v="4190"/>
    <n v="1017.45"/>
    <x v="12"/>
    <x v="12"/>
    <x v="12"/>
    <n v="0.36230417358214861"/>
    <n v="42.800000000000182"/>
    <n v="17.54957425511785"/>
    <n v="-40.829355608591882"/>
  </r>
  <r>
    <x v="13"/>
    <x v="0"/>
    <n v="2489.9499999999998"/>
    <n v="2498"/>
    <n v="2460"/>
    <n v="2479.25"/>
    <n v="2462"/>
    <n v="2464.9"/>
    <n v="2474.0700000000002"/>
    <n v="4190"/>
    <n v="1017.45"/>
    <x v="13"/>
    <x v="13"/>
    <x v="13"/>
    <n v="-0.57880407381264132"/>
    <n v="38"/>
    <n v="19.499200288346739"/>
    <n v="-41.171837708830544"/>
  </r>
  <r>
    <x v="14"/>
    <x v="0"/>
    <n v="2479.9499999999998"/>
    <n v="2489"/>
    <n v="2424"/>
    <n v="2464.9"/>
    <n v="2484"/>
    <n v="2482.1"/>
    <n v="2460.35"/>
    <n v="4190"/>
    <n v="1017.45"/>
    <x v="14"/>
    <x v="14"/>
    <x v="14"/>
    <n v="0.69779707087507881"/>
    <n v="65"/>
    <n v="19.478782834184369"/>
    <n v="-40.761336515513129"/>
  </r>
  <r>
    <x v="15"/>
    <x v="0"/>
    <n v="2491"/>
    <n v="2499"/>
    <n v="2452.6"/>
    <n v="2482.1"/>
    <n v="2458.5"/>
    <n v="2457.9499999999998"/>
    <n v="2474.46"/>
    <n v="4190"/>
    <n v="1017.45"/>
    <x v="15"/>
    <x v="15"/>
    <x v="15"/>
    <n v="-0.9729664397083152"/>
    <n v="46.400000000000091"/>
    <n v="19.565581343262689"/>
    <n v="-41.337708830548934"/>
  </r>
  <r>
    <x v="16"/>
    <x v="0"/>
    <n v="2460"/>
    <n v="2498"/>
    <n v="2445.1"/>
    <n v="2457.9499999999998"/>
    <n v="2484"/>
    <n v="2483.3000000000002"/>
    <n v="2475.27"/>
    <n v="4190"/>
    <n v="1017.45"/>
    <x v="16"/>
    <x v="16"/>
    <x v="16"/>
    <n v="1.0313472609288377"/>
    <n v="52.900000000000091"/>
    <n v="25.509613107922526"/>
    <n v="-40.732696897374701"/>
  </r>
  <r>
    <x v="17"/>
    <x v="0"/>
    <n v="2489.9499999999998"/>
    <n v="2511"/>
    <n v="2446.6999999999998"/>
    <n v="2483.3000000000002"/>
    <n v="2477.1"/>
    <n v="2475.25"/>
    <n v="2478.59"/>
    <n v="4190"/>
    <n v="1017.45"/>
    <x v="17"/>
    <x v="17"/>
    <x v="17"/>
    <n v="-0.32416542503926959"/>
    <n v="64.300000000000182"/>
    <n v="29.642909468692977"/>
    <n v="-40.924821002386636"/>
  </r>
  <r>
    <x v="18"/>
    <x v="0"/>
    <n v="2462.0500000000002"/>
    <n v="2479.5500000000002"/>
    <n v="2405.0500000000002"/>
    <n v="2475.25"/>
    <n v="2416"/>
    <n v="2413.9"/>
    <n v="2430.2399999999998"/>
    <n v="4190"/>
    <n v="1017.45"/>
    <x v="18"/>
    <x v="18"/>
    <x v="18"/>
    <n v="-2.4785375214624747"/>
    <n v="74.5"/>
    <n v="20.750070632746571"/>
    <n v="-42.389021479713598"/>
  </r>
  <r>
    <x v="19"/>
    <x v="0"/>
    <n v="2418"/>
    <n v="2424.9"/>
    <n v="2372"/>
    <n v="2413.9"/>
    <n v="2387.1"/>
    <n v="2387.25"/>
    <n v="2395.35"/>
    <n v="4190"/>
    <n v="1017.45"/>
    <x v="19"/>
    <x v="19"/>
    <x v="19"/>
    <n v="-1.1040225361448317"/>
    <n v="52.900000000000091"/>
    <n v="28.67260493704487"/>
    <n v="-43.025059665871126"/>
  </r>
  <r>
    <x v="20"/>
    <x v="0"/>
    <n v="2402.1999999999998"/>
    <n v="2502.75"/>
    <n v="2392.25"/>
    <n v="2387.25"/>
    <n v="2464.3000000000002"/>
    <n v="2464.9499999999998"/>
    <n v="2451.9499999999998"/>
    <n v="4190"/>
    <n v="1017.45"/>
    <x v="20"/>
    <x v="20"/>
    <x v="20"/>
    <n v="3.2547910775997413"/>
    <n v="110.5"/>
    <n v="22.87328893229375"/>
    <n v="-41.170644391408118"/>
  </r>
  <r>
    <x v="21"/>
    <x v="0"/>
    <n v="2477.9499999999998"/>
    <n v="2486.5"/>
    <n v="2446.4"/>
    <n v="2464.9499999999998"/>
    <n v="2466"/>
    <n v="2466.35"/>
    <n v="2464.12"/>
    <n v="4190"/>
    <n v="1017.45"/>
    <x v="21"/>
    <x v="21"/>
    <x v="21"/>
    <n v="5.6796283900285641E-2"/>
    <n v="40.099999999999909"/>
    <n v="17.516434393899551"/>
    <n v="-41.137231503579955"/>
  </r>
  <r>
    <x v="22"/>
    <x v="0"/>
    <n v="2466.35"/>
    <n v="2514.9499999999998"/>
    <n v="2466.0500000000002"/>
    <n v="2466.35"/>
    <n v="2479.9"/>
    <n v="2478.1"/>
    <n v="2491.17"/>
    <n v="4190"/>
    <n v="1017.45"/>
    <x v="22"/>
    <x v="22"/>
    <x v="22"/>
    <n v="0.47641251241713461"/>
    <n v="48.899999999999636"/>
    <n v="25.3323323659179"/>
    <n v="-40.856801909307876"/>
  </r>
  <r>
    <x v="23"/>
    <x v="0"/>
    <n v="2440"/>
    <n v="2459.6999999999998"/>
    <n v="2411.3000000000002"/>
    <n v="2478.1"/>
    <n v="2440"/>
    <n v="2442.6"/>
    <n v="2435.04"/>
    <n v="4190"/>
    <n v="1017.45"/>
    <x v="23"/>
    <x v="23"/>
    <x v="23"/>
    <n v="-1.4325491303821476"/>
    <n v="48.399999999999636"/>
    <n v="23.607322470327901"/>
    <n v="-41.704057279236281"/>
  </r>
  <r>
    <x v="24"/>
    <x v="0"/>
    <n v="2443"/>
    <n v="2517.9499999999998"/>
    <n v="2443"/>
    <n v="2442.6"/>
    <n v="2495"/>
    <n v="2498.3000000000002"/>
    <n v="2492.25"/>
    <n v="4190"/>
    <n v="1017.45"/>
    <x v="24"/>
    <x v="24"/>
    <x v="24"/>
    <n v="2.2803569966429329"/>
    <n v="74.949999999999818"/>
    <n v="25.294571098199881"/>
    <n v="-40.374701670644384"/>
  </r>
  <r>
    <x v="25"/>
    <x v="0"/>
    <n v="2533.9"/>
    <n v="2538"/>
    <n v="2482.5"/>
    <n v="2498.3000000000002"/>
    <n v="2497"/>
    <n v="2488.6"/>
    <n v="2512.6799999999998"/>
    <n v="4190"/>
    <n v="1017.45"/>
    <x v="25"/>
    <x v="25"/>
    <x v="25"/>
    <n v="-0.38826401953329354"/>
    <n v="55.5"/>
    <n v="28.773062306672557"/>
    <n v="-40.606205250596659"/>
  </r>
  <r>
    <x v="26"/>
    <x v="0"/>
    <n v="2499.9"/>
    <n v="2521.75"/>
    <n v="2490.65"/>
    <n v="2488.6"/>
    <n v="2505.1"/>
    <n v="2506.35"/>
    <n v="2506.4899999999998"/>
    <n v="4190"/>
    <n v="1017.45"/>
    <x v="26"/>
    <x v="26"/>
    <x v="26"/>
    <n v="0.71325243108575098"/>
    <n v="31.099999999999909"/>
    <n v="30.435892679471831"/>
    <n v="-40.182577565632457"/>
  </r>
  <r>
    <x v="27"/>
    <x v="0"/>
    <n v="2488.9"/>
    <n v="2495"/>
    <n v="2422.35"/>
    <n v="2506.35"/>
    <n v="2449"/>
    <n v="2454.5500000000002"/>
    <n v="2446.5100000000002"/>
    <n v="4190"/>
    <n v="1017.45"/>
    <x v="27"/>
    <x v="27"/>
    <x v="27"/>
    <n v="-2.0667504538472175"/>
    <n v="72.650000000000091"/>
    <n v="23.400377908767894"/>
    <n v="-41.41885441527446"/>
  </r>
  <r>
    <x v="28"/>
    <x v="0"/>
    <n v="2454.5500000000002"/>
    <n v="2464.6999999999998"/>
    <n v="2421.85"/>
    <n v="2454.5500000000002"/>
    <n v="2430"/>
    <n v="2429.35"/>
    <n v="2447.48"/>
    <n v="4190"/>
    <n v="1017.45"/>
    <x v="28"/>
    <x v="28"/>
    <x v="28"/>
    <n v="-1.0266647654356305"/>
    <n v="42.849999999999909"/>
    <n v="19.064532194948416"/>
    <n v="-42.02028639618139"/>
  </r>
  <r>
    <x v="29"/>
    <x v="0"/>
    <n v="2459.9499999999998"/>
    <n v="2462"/>
    <n v="2423.5"/>
    <n v="2429.35"/>
    <n v="2429.8000000000002"/>
    <n v="2428.4"/>
    <n v="2441.19"/>
    <n v="4190"/>
    <n v="1017.45"/>
    <x v="29"/>
    <x v="29"/>
    <x v="29"/>
    <n v="-3.9105110420475361E-2"/>
    <n v="38.5"/>
    <n v="17.871309135914728"/>
    <n v="-42.042959427207634"/>
  </r>
  <r>
    <x v="30"/>
    <x v="0"/>
    <n v="2440"/>
    <n v="2441.75"/>
    <n v="2401.0500000000002"/>
    <n v="2428.4"/>
    <n v="2410"/>
    <n v="2406.35"/>
    <n v="2417.1799999999998"/>
    <n v="4190"/>
    <n v="1017.45"/>
    <x v="30"/>
    <x v="30"/>
    <x v="30"/>
    <n v="-0.90800527096031058"/>
    <n v="40.699999999999818"/>
    <n v="19.112414827933979"/>
    <n v="-42.569212410501194"/>
  </r>
  <r>
    <x v="31"/>
    <x v="0"/>
    <n v="2400"/>
    <n v="2414.6999999999998"/>
    <n v="2382.5500000000002"/>
    <n v="2406.35"/>
    <n v="2403.5500000000002"/>
    <n v="2402.1999999999998"/>
    <n v="2399"/>
    <n v="4190"/>
    <n v="1017.45"/>
    <x v="31"/>
    <x v="31"/>
    <x v="31"/>
    <n v="-0.17246036528352449"/>
    <n v="32.149999999999636"/>
    <n v="17.280552352228039"/>
    <n v="-42.66825775656325"/>
  </r>
  <r>
    <x v="32"/>
    <x v="0"/>
    <n v="2398.0500000000002"/>
    <n v="2443.9499999999998"/>
    <n v="2382.0500000000002"/>
    <n v="2402.1999999999998"/>
    <n v="2395"/>
    <n v="2393.75"/>
    <n v="2403.46"/>
    <n v="4190"/>
    <n v="1017.45"/>
    <x v="32"/>
    <x v="32"/>
    <x v="32"/>
    <n v="-0.35176088585462573"/>
    <n v="61.899999999999636"/>
    <n v="22.132902696240254"/>
    <n v="-42.869928400954656"/>
  </r>
  <r>
    <x v="33"/>
    <x v="0"/>
    <n v="2397.8000000000002"/>
    <n v="2412.35"/>
    <n v="2301.8000000000002"/>
    <n v="2393.75"/>
    <n v="2304.9499999999998"/>
    <n v="2308.65"/>
    <n v="2339.84"/>
    <n v="4190"/>
    <n v="1017.45"/>
    <x v="33"/>
    <x v="33"/>
    <x v="33"/>
    <n v="-3.5550913838120071"/>
    <n v="110.54999999999973"/>
    <n v="18.128096093454062"/>
    <n v="-44.900954653937944"/>
  </r>
  <r>
    <x v="34"/>
    <x v="0"/>
    <n v="2320"/>
    <n v="2348.0500000000002"/>
    <n v="2235.3000000000002"/>
    <n v="2308.65"/>
    <n v="2261"/>
    <n v="2257"/>
    <n v="2287.3200000000002"/>
    <n v="4190"/>
    <n v="1017.45"/>
    <x v="34"/>
    <x v="34"/>
    <x v="34"/>
    <n v="-2.237238212808355"/>
    <n v="112.75"/>
    <n v="19.361887408896706"/>
    <n v="-46.133651551312646"/>
  </r>
  <r>
    <x v="35"/>
    <x v="0"/>
    <n v="2249"/>
    <n v="2249"/>
    <n v="2167.0500000000002"/>
    <n v="2257"/>
    <n v="2208"/>
    <n v="2203.1999999999998"/>
    <n v="2202.63"/>
    <n v="4190"/>
    <n v="1017.45"/>
    <x v="35"/>
    <x v="35"/>
    <x v="35"/>
    <n v="-2.3836951705804248"/>
    <n v="81.949999999999818"/>
    <n v="17.286262298391794"/>
    <n v="-47.417661097852033"/>
  </r>
  <r>
    <x v="36"/>
    <x v="0"/>
    <n v="2222"/>
    <n v="2275"/>
    <n v="2212"/>
    <n v="2203.1999999999998"/>
    <n v="2259.8000000000002"/>
    <n v="2261.6999999999998"/>
    <n v="2246.4899999999998"/>
    <n v="4190"/>
    <n v="1017.45"/>
    <x v="36"/>
    <x v="36"/>
    <x v="36"/>
    <n v="2.655228758169935"/>
    <n v="63"/>
    <n v="19.556667976424361"/>
    <n v="-46.021479713603824"/>
  </r>
  <r>
    <x v="37"/>
    <x v="0"/>
    <n v="2260.0500000000002"/>
    <n v="2305"/>
    <n v="2250"/>
    <n v="2261.6999999999998"/>
    <n v="2294.5500000000002"/>
    <n v="2299.1"/>
    <n v="2286.4299999999998"/>
    <n v="4190"/>
    <n v="1017.45"/>
    <x v="37"/>
    <x v="37"/>
    <x v="37"/>
    <n v="1.6536233806428835"/>
    <n v="55"/>
    <n v="18.580048480328173"/>
    <n v="-45.128878281622917"/>
  </r>
  <r>
    <x v="38"/>
    <x v="0"/>
    <n v="2320"/>
    <n v="2320"/>
    <n v="2276"/>
    <n v="2299.1"/>
    <n v="2297"/>
    <n v="2294.65"/>
    <n v="2294.7600000000002"/>
    <n v="4190"/>
    <n v="1017.45"/>
    <x v="38"/>
    <x v="38"/>
    <x v="38"/>
    <n v="-0.19355399939105816"/>
    <n v="44"/>
    <n v="22.05237840726884"/>
    <n v="-45.235083532219569"/>
  </r>
  <r>
    <x v="39"/>
    <x v="0"/>
    <n v="2299"/>
    <n v="2312.25"/>
    <n v="2207"/>
    <n v="2294.65"/>
    <n v="2215.9"/>
    <n v="2217.3000000000002"/>
    <n v="2253.36"/>
    <n v="4190"/>
    <n v="1017.45"/>
    <x v="39"/>
    <x v="39"/>
    <x v="39"/>
    <n v="-3.3708844486087166"/>
    <n v="105.25"/>
    <n v="20.862749270808557"/>
    <n v="-47.081145584725533"/>
  </r>
  <r>
    <x v="40"/>
    <x v="0"/>
    <n v="2247"/>
    <n v="2297.9499999999998"/>
    <n v="2204.1999999999998"/>
    <n v="2217.3000000000002"/>
    <n v="2214"/>
    <n v="2215.3000000000002"/>
    <n v="2247.0700000000002"/>
    <n v="4190"/>
    <n v="1017.45"/>
    <x v="40"/>
    <x v="40"/>
    <x v="40"/>
    <n v="-9.019979254047715E-2"/>
    <n v="93.75"/>
    <n v="18.415356901244476"/>
    <n v="-47.128878281622903"/>
  </r>
  <r>
    <x v="41"/>
    <x v="0"/>
    <n v="2215.3000000000002"/>
    <n v="2279"/>
    <n v="2215"/>
    <n v="2215.3000000000002"/>
    <n v="2229.25"/>
    <n v="2229.85"/>
    <n v="2244.27"/>
    <n v="4190"/>
    <n v="1017.45"/>
    <x v="41"/>
    <x v="41"/>
    <x v="41"/>
    <n v="0.65679591928857162"/>
    <n v="64"/>
    <n v="22.361245173745175"/>
    <n v="-46.781622911694512"/>
  </r>
  <r>
    <x v="42"/>
    <x v="0"/>
    <n v="2253.9499999999998"/>
    <n v="2260"/>
    <n v="2233"/>
    <n v="2229.85"/>
    <n v="2245.1"/>
    <n v="2246"/>
    <n v="2244.88"/>
    <n v="4190"/>
    <n v="1017.45"/>
    <x v="42"/>
    <x v="42"/>
    <x v="42"/>
    <n v="0.72426396394376713"/>
    <n v="27"/>
    <n v="17.562856360899513"/>
    <n v="-46.396181384248209"/>
  </r>
  <r>
    <x v="43"/>
    <x v="0"/>
    <n v="2257"/>
    <n v="2260"/>
    <n v="2226.65"/>
    <n v="2246"/>
    <n v="2235.4499999999998"/>
    <n v="2233.35"/>
    <n v="2240.69"/>
    <n v="4190"/>
    <n v="1017.45"/>
    <x v="43"/>
    <x v="43"/>
    <x v="43"/>
    <n v="-0.56322350845948754"/>
    <n v="33.349999999999909"/>
    <n v="19.165168035847646"/>
    <n v="-46.698090692124104"/>
  </r>
  <r>
    <x v="44"/>
    <x v="0"/>
    <n v="2245.3000000000002"/>
    <n v="2298"/>
    <n v="2235"/>
    <n v="2233.35"/>
    <n v="2259"/>
    <n v="2259.9499999999998"/>
    <n v="2263.84"/>
    <n v="4190"/>
    <n v="1017.45"/>
    <x v="44"/>
    <x v="44"/>
    <x v="44"/>
    <n v="1.1910358877918781"/>
    <n v="63"/>
    <n v="20.046636832810382"/>
    <n v="-46.063245823389025"/>
  </r>
  <r>
    <x v="45"/>
    <x v="0"/>
    <n v="2269"/>
    <n v="2272.6"/>
    <n v="2210.1"/>
    <n v="2259.9499999999998"/>
    <n v="2219.9499999999998"/>
    <n v="2214.65"/>
    <n v="2231.38"/>
    <n v="4190"/>
    <n v="1017.45"/>
    <x v="45"/>
    <x v="45"/>
    <x v="45"/>
    <n v="-2.0044691254231171"/>
    <n v="62.5"/>
    <n v="20.116935867737123"/>
    <n v="-47.144391408114558"/>
  </r>
  <r>
    <x v="46"/>
    <x v="0"/>
    <n v="2220.25"/>
    <n v="2237"/>
    <n v="2198.5"/>
    <n v="2214.65"/>
    <n v="2209"/>
    <n v="2205.1"/>
    <n v="2214.5500000000002"/>
    <n v="4190"/>
    <n v="1017.45"/>
    <x v="46"/>
    <x v="46"/>
    <x v="46"/>
    <n v="-0.43121938003748589"/>
    <n v="38.5"/>
    <n v="23.336096425385637"/>
    <n v="-47.372315035799524"/>
  </r>
  <r>
    <x v="47"/>
    <x v="0"/>
    <n v="2219.6999999999998"/>
    <n v="2226"/>
    <n v="2205.1"/>
    <n v="2205.1"/>
    <n v="2207.5"/>
    <n v="2211.35"/>
    <n v="2215.9"/>
    <n v="4190"/>
    <n v="1017.45"/>
    <x v="47"/>
    <x v="47"/>
    <x v="47"/>
    <n v="0.28343385787492636"/>
    <n v="20.900000000000091"/>
    <n v="15.994823681656422"/>
    <n v="-47.22315035799523"/>
  </r>
  <r>
    <x v="48"/>
    <x v="0"/>
    <n v="2215.5"/>
    <n v="2241.9"/>
    <n v="2195.5500000000002"/>
    <n v="2211.35"/>
    <n v="2218"/>
    <n v="2213.65"/>
    <n v="2212.7600000000002"/>
    <n v="4190"/>
    <n v="1017.45"/>
    <x v="48"/>
    <x v="48"/>
    <x v="48"/>
    <n v="0.10400886336401664"/>
    <n v="46.349999999999909"/>
    <n v="20.068011378329455"/>
    <n v="-47.168257756563243"/>
  </r>
  <r>
    <x v="49"/>
    <x v="0"/>
    <n v="2240"/>
    <n v="2250"/>
    <n v="2220.5"/>
    <n v="2213.65"/>
    <n v="2223.9499999999998"/>
    <n v="2225.4"/>
    <n v="2228.39"/>
    <n v="4190"/>
    <n v="1017.45"/>
    <x v="49"/>
    <x v="49"/>
    <x v="49"/>
    <n v="0.53079755155512387"/>
    <n v="29.5"/>
    <n v="20.997135966234548"/>
    <n v="-46.887828162291164"/>
  </r>
  <r>
    <x v="50"/>
    <x v="0"/>
    <n v="2226"/>
    <n v="2232.8000000000002"/>
    <n v="2196.1"/>
    <n v="2225.4"/>
    <n v="2203"/>
    <n v="2205.9"/>
    <n v="2211.42"/>
    <n v="4190"/>
    <n v="1017.45"/>
    <x v="50"/>
    <x v="50"/>
    <x v="50"/>
    <n v="-0.87624696683742243"/>
    <n v="36.700000000000273"/>
    <n v="17.689895423244991"/>
    <n v="-47.353221957040567"/>
  </r>
  <r>
    <x v="51"/>
    <x v="0"/>
    <n v="2205.9"/>
    <n v="2237.9499999999998"/>
    <n v="2201"/>
    <n v="2205.9"/>
    <n v="2209"/>
    <n v="2208.8000000000002"/>
    <n v="2216.3200000000002"/>
    <n v="4190"/>
    <n v="1017.45"/>
    <x v="51"/>
    <x v="51"/>
    <x v="51"/>
    <n v="0.13146561494175124"/>
    <n v="36.949999999999818"/>
    <n v="20.920292170737273"/>
    <n v="-47.284009546539373"/>
  </r>
  <r>
    <x v="52"/>
    <x v="0"/>
    <n v="2211"/>
    <n v="2218.5"/>
    <n v="2142"/>
    <n v="2208.8000000000002"/>
    <n v="2151"/>
    <n v="2149.85"/>
    <n v="2173.6999999999998"/>
    <n v="4190"/>
    <n v="1017.45"/>
    <x v="52"/>
    <x v="52"/>
    <x v="52"/>
    <n v="-2.6688699746468791"/>
    <n v="76.5"/>
    <n v="19.983440184476599"/>
    <n v="-48.690930787589501"/>
  </r>
  <r>
    <x v="53"/>
    <x v="0"/>
    <n v="2160"/>
    <n v="2232.5500000000002"/>
    <n v="2158.35"/>
    <n v="2149.85"/>
    <n v="2197.6"/>
    <n v="2196.65"/>
    <n v="2207.0700000000002"/>
    <n v="4190"/>
    <n v="1017.45"/>
    <x v="53"/>
    <x v="53"/>
    <x v="53"/>
    <n v="2.1768960625159979"/>
    <n v="74.200000000000273"/>
    <n v="20.330481874447393"/>
    <n v="-47.57398568019093"/>
  </r>
  <r>
    <x v="54"/>
    <x v="0"/>
    <n v="2205.15"/>
    <n v="2225"/>
    <n v="2153.5"/>
    <n v="2196.65"/>
    <n v="2175"/>
    <n v="2172.65"/>
    <n v="2175.4499999999998"/>
    <n v="4190"/>
    <n v="1017.45"/>
    <x v="54"/>
    <x v="54"/>
    <x v="54"/>
    <n v="-1.0925727812805863"/>
    <n v="71.5"/>
    <n v="21.462090446035241"/>
    <n v="-48.146778042959426"/>
  </r>
  <r>
    <x v="55"/>
    <x v="0"/>
    <n v="2190"/>
    <n v="2190"/>
    <n v="2160.6"/>
    <n v="2172.65"/>
    <n v="2179"/>
    <n v="2175.25"/>
    <n v="2176.85"/>
    <n v="4190"/>
    <n v="1017.45"/>
    <x v="55"/>
    <x v="55"/>
    <x v="55"/>
    <n v="0.11966952799576135"/>
    <n v="29.400000000000091"/>
    <n v="18.715385800092406"/>
    <n v="-48.084725536992842"/>
  </r>
  <r>
    <x v="56"/>
    <x v="0"/>
    <n v="2179"/>
    <n v="2251.9499999999998"/>
    <n v="2160.9"/>
    <n v="2175.25"/>
    <n v="2250"/>
    <n v="2225.4499999999998"/>
    <n v="2206.04"/>
    <n v="4190"/>
    <n v="1017.45"/>
    <x v="56"/>
    <x v="56"/>
    <x v="56"/>
    <n v="2.3077807148603524"/>
    <n v="91.049999999999727"/>
    <n v="21.267103753483035"/>
    <n v="-46.886634844868738"/>
  </r>
  <r>
    <x v="57"/>
    <x v="0"/>
    <n v="2301"/>
    <n v="2512.4"/>
    <n v="2275"/>
    <n v="2225.4499999999998"/>
    <n v="2430"/>
    <n v="2423.5"/>
    <n v="2416.12"/>
    <n v="4190"/>
    <n v="1017.45"/>
    <x v="57"/>
    <x v="57"/>
    <x v="57"/>
    <n v="8.8993237322788747"/>
    <n v="237.40000000000009"/>
    <n v="27.869591835784554"/>
    <n v="-42.159904534606206"/>
  </r>
  <r>
    <x v="58"/>
    <x v="0"/>
    <n v="2468.6999999999998"/>
    <n v="2477.65"/>
    <n v="2390"/>
    <n v="2423.5"/>
    <n v="2394"/>
    <n v="2396.6"/>
    <n v="2429.9899999999998"/>
    <n v="4190"/>
    <n v="1017.45"/>
    <x v="58"/>
    <x v="58"/>
    <x v="58"/>
    <n v="-1.1099649267588236"/>
    <n v="87.650000000000091"/>
    <n v="25.775390735362258"/>
    <n v="-42.801909307875896"/>
  </r>
  <r>
    <x v="59"/>
    <x v="0"/>
    <n v="2400.0500000000002"/>
    <n v="2409"/>
    <n v="2343.0500000000002"/>
    <n v="2396.6"/>
    <n v="2365.5"/>
    <n v="2358.5500000000002"/>
    <n v="2361.69"/>
    <n v="4190"/>
    <n v="1017.45"/>
    <x v="59"/>
    <x v="59"/>
    <x v="59"/>
    <n v="-1.5876658599682771"/>
    <n v="65.949999999999818"/>
    <n v="23.146455361367742"/>
    <n v="-43.710023866348443"/>
  </r>
  <r>
    <x v="60"/>
    <x v="0"/>
    <n v="2370"/>
    <n v="2403.35"/>
    <n v="2354.1"/>
    <n v="2358.5500000000002"/>
    <n v="2359"/>
    <n v="2362.6999999999998"/>
    <n v="2372.38"/>
    <n v="4190"/>
    <n v="1017.45"/>
    <x v="60"/>
    <x v="60"/>
    <x v="60"/>
    <n v="0.17595556591972339"/>
    <n v="49.25"/>
    <n v="22.45326470809227"/>
    <n v="-43.610978520286402"/>
  </r>
  <r>
    <x v="61"/>
    <x v="0"/>
    <n v="2549.9499999999998"/>
    <n v="2595"/>
    <n v="2487.4499999999998"/>
    <n v="2362.6999999999998"/>
    <n v="2523"/>
    <n v="2531.1999999999998"/>
    <n v="2529.8000000000002"/>
    <n v="4190"/>
    <n v="1017.45"/>
    <x v="61"/>
    <x v="61"/>
    <x v="61"/>
    <n v="7.1316713928979567"/>
    <n v="107.55000000000018"/>
    <n v="25.030469107954747"/>
    <n v="-39.589498806682585"/>
  </r>
  <r>
    <x v="62"/>
    <x v="0"/>
    <n v="2531.1999999999998"/>
    <n v="2999.9"/>
    <n v="2531.1999999999998"/>
    <n v="2531.1999999999998"/>
    <n v="2971"/>
    <n v="2959.35"/>
    <n v="2804.15"/>
    <n v="4190"/>
    <n v="1017.45"/>
    <x v="62"/>
    <x v="62"/>
    <x v="62"/>
    <n v="16.91490202275601"/>
    <n v="468.70000000000027"/>
    <n v="30.363580020809444"/>
    <n v="-29.37112171837709"/>
  </r>
  <r>
    <x v="63"/>
    <x v="0"/>
    <n v="3080"/>
    <n v="3154.55"/>
    <n v="2844.85"/>
    <n v="2959.35"/>
    <n v="2893"/>
    <n v="2883.95"/>
    <n v="2987.51"/>
    <n v="4190"/>
    <n v="1017.45"/>
    <x v="63"/>
    <x v="63"/>
    <x v="63"/>
    <n v="-2.5478567928768174"/>
    <n v="309.70000000000027"/>
    <n v="24.795993087377546"/>
    <n v="-31.170644391408121"/>
  </r>
  <r>
    <x v="64"/>
    <x v="0"/>
    <n v="2900"/>
    <n v="2945.9"/>
    <n v="2853.05"/>
    <n v="2883.95"/>
    <n v="2892.3"/>
    <n v="2887.15"/>
    <n v="2898.6"/>
    <n v="4190"/>
    <n v="1017.45"/>
    <x v="64"/>
    <x v="64"/>
    <x v="64"/>
    <n v="0.11095892785936902"/>
    <n v="92.849999999999909"/>
    <n v="23.850121590287859"/>
    <n v="-31.094272076372313"/>
  </r>
  <r>
    <x v="65"/>
    <x v="0"/>
    <n v="2902.7"/>
    <n v="2927"/>
    <n v="2760"/>
    <n v="2887.15"/>
    <n v="2829.9"/>
    <n v="2822.15"/>
    <n v="2839.19"/>
    <n v="4190"/>
    <n v="1017.45"/>
    <x v="65"/>
    <x v="65"/>
    <x v="65"/>
    <n v="-2.2513551426146892"/>
    <n v="167"/>
    <n v="24.057341376151545"/>
    <n v="-32.645584725536992"/>
  </r>
  <r>
    <x v="66"/>
    <x v="0"/>
    <n v="2837.05"/>
    <n v="2919.9"/>
    <n v="2811.05"/>
    <n v="2822.15"/>
    <n v="2862"/>
    <n v="2855.8"/>
    <n v="2867.92"/>
    <n v="4190"/>
    <n v="1017.45"/>
    <x v="66"/>
    <x v="66"/>
    <x v="66"/>
    <n v="1.192353347625041"/>
    <n v="108.84999999999991"/>
    <n v="24.959820790473703"/>
    <n v="-31.842482100238662"/>
  </r>
  <r>
    <x v="67"/>
    <x v="0"/>
    <n v="2869.1"/>
    <n v="2895.95"/>
    <n v="2840.55"/>
    <n v="2855.8"/>
    <n v="2855"/>
    <n v="2857.65"/>
    <n v="2864.57"/>
    <n v="4190"/>
    <n v="1017.45"/>
    <x v="67"/>
    <x v="67"/>
    <x v="67"/>
    <n v="6.4780446809997505E-2"/>
    <n v="55.399999999999636"/>
    <n v="22.165280722375403"/>
    <n v="-31.79832935560859"/>
  </r>
  <r>
    <x v="68"/>
    <x v="0"/>
    <n v="2860"/>
    <n v="2899.1"/>
    <n v="2805"/>
    <n v="2857.65"/>
    <n v="2887"/>
    <n v="2875.05"/>
    <n v="2854.75"/>
    <n v="4190"/>
    <n v="1017.45"/>
    <x v="68"/>
    <x v="68"/>
    <x v="68"/>
    <n v="0.60889192168390427"/>
    <n v="94.099999999999909"/>
    <n v="23.591107822694557"/>
    <n v="-31.383054892601425"/>
  </r>
  <r>
    <x v="69"/>
    <x v="0"/>
    <n v="2900.95"/>
    <n v="2932.95"/>
    <n v="2887"/>
    <n v="2875.05"/>
    <n v="2893"/>
    <n v="2894.05"/>
    <n v="2908.68"/>
    <n v="4190"/>
    <n v="1017.45"/>
    <x v="69"/>
    <x v="69"/>
    <x v="69"/>
    <n v="0.66085807203352975"/>
    <n v="45.949999999999818"/>
    <n v="23.001562121060815"/>
    <n v="-30.929594272076365"/>
  </r>
  <r>
    <x v="70"/>
    <x v="0"/>
    <n v="2912.05"/>
    <n v="3000"/>
    <n v="2893.9"/>
    <n v="2894.05"/>
    <n v="2987"/>
    <n v="2991.8"/>
    <n v="2962.62"/>
    <n v="4190"/>
    <n v="1017.45"/>
    <x v="70"/>
    <x v="70"/>
    <x v="70"/>
    <n v="3.3776195988320863"/>
    <n v="106.09999999999991"/>
    <n v="27.267954301164632"/>
    <n v="-28.596658711217181"/>
  </r>
  <r>
    <x v="71"/>
    <x v="0"/>
    <n v="2993.95"/>
    <n v="3027.75"/>
    <n v="2961.1"/>
    <n v="2991.8"/>
    <n v="2974"/>
    <n v="2980.6"/>
    <n v="2993.07"/>
    <n v="4190"/>
    <n v="1017.45"/>
    <x v="71"/>
    <x v="71"/>
    <x v="71"/>
    <n v="-0.37435657463735117"/>
    <n v="66.650000000000091"/>
    <n v="23.128459149331388"/>
    <n v="-28.863961813842486"/>
  </r>
  <r>
    <x v="72"/>
    <x v="0"/>
    <n v="2988.8"/>
    <n v="2994.35"/>
    <n v="2915"/>
    <n v="2980.6"/>
    <n v="2940"/>
    <n v="2941.25"/>
    <n v="2950.36"/>
    <n v="4190"/>
    <n v="1017.45"/>
    <x v="72"/>
    <x v="72"/>
    <x v="72"/>
    <n v="-1.3202039857746732"/>
    <n v="79.349999999999909"/>
    <n v="21.304751535318442"/>
    <n v="-29.80310262529833"/>
  </r>
  <r>
    <x v="73"/>
    <x v="0"/>
    <n v="2946"/>
    <n v="2968"/>
    <n v="2766.2"/>
    <n v="2941.25"/>
    <n v="2775"/>
    <n v="2783.85"/>
    <n v="2870.07"/>
    <n v="4190"/>
    <n v="1017.45"/>
    <x v="73"/>
    <x v="73"/>
    <x v="73"/>
    <n v="-5.3514662133446693"/>
    <n v="201.80000000000018"/>
    <n v="19.947466104810985"/>
    <n v="-33.559665871121716"/>
  </r>
  <r>
    <x v="74"/>
    <x v="0"/>
    <n v="2750"/>
    <n v="2821.95"/>
    <n v="2725"/>
    <n v="2783.85"/>
    <n v="2812.9"/>
    <n v="2799.75"/>
    <n v="2788.43"/>
    <n v="4190"/>
    <n v="1017.45"/>
    <x v="74"/>
    <x v="74"/>
    <x v="74"/>
    <n v="0.57115146290209928"/>
    <n v="96.949999999999818"/>
    <n v="19.238366455746206"/>
    <n v="-33.180190930787589"/>
  </r>
  <r>
    <x v="75"/>
    <x v="0"/>
    <n v="2815.95"/>
    <n v="2847.6"/>
    <n v="2791.4"/>
    <n v="2799.75"/>
    <n v="2806"/>
    <n v="2808.35"/>
    <n v="2819.62"/>
    <n v="4190"/>
    <n v="1017.45"/>
    <x v="75"/>
    <x v="75"/>
    <x v="75"/>
    <n v="0.30717028306098432"/>
    <n v="56.199999999999818"/>
    <n v="19.718874141995649"/>
    <n v="-32.974940334128881"/>
  </r>
  <r>
    <x v="76"/>
    <x v="0"/>
    <n v="2817"/>
    <n v="2893.75"/>
    <n v="2800.1"/>
    <n v="2808.35"/>
    <n v="2877.05"/>
    <n v="2865.45"/>
    <n v="2859.55"/>
    <n v="3898"/>
    <n v="1017.45"/>
    <x v="76"/>
    <x v="76"/>
    <x v="76"/>
    <n v="2.03322235476347"/>
    <n v="93.650000000000091"/>
    <n v="16.418870828123499"/>
    <n v="-26.489225243714731"/>
  </r>
  <r>
    <x v="77"/>
    <x v="0"/>
    <n v="2880.7"/>
    <n v="2894.8"/>
    <n v="2833.6"/>
    <n v="2865.45"/>
    <n v="2846"/>
    <n v="2843.35"/>
    <n v="2854.23"/>
    <n v="3898"/>
    <n v="1017.45"/>
    <x v="77"/>
    <x v="77"/>
    <x v="77"/>
    <n v="-0.77125756861923644"/>
    <n v="61.200000000000273"/>
    <n v="17.533087628014535"/>
    <n v="-27.056182657773221"/>
  </r>
  <r>
    <x v="78"/>
    <x v="0"/>
    <n v="2855"/>
    <n v="2867.35"/>
    <n v="2800.1"/>
    <n v="2843.35"/>
    <n v="2816.9"/>
    <n v="2809.9"/>
    <n v="2818.51"/>
    <n v="3898"/>
    <n v="1017.45"/>
    <x v="78"/>
    <x v="78"/>
    <x v="78"/>
    <n v="-1.1764292120210251"/>
    <n v="67.25"/>
    <n v="37.965318774868138"/>
    <n v="-27.914315033350434"/>
  </r>
  <r>
    <x v="79"/>
    <x v="0"/>
    <n v="2823.9"/>
    <n v="2863.3"/>
    <n v="2802.85"/>
    <n v="2809.9"/>
    <n v="2849.05"/>
    <n v="2848.95"/>
    <n v="2838.38"/>
    <n v="3898"/>
    <n v="1017.45"/>
    <x v="79"/>
    <x v="79"/>
    <x v="79"/>
    <n v="1.38972917185664"/>
    <n v="60.450000000000273"/>
    <n v="23.155657985710992"/>
    <n v="-26.912519240636229"/>
  </r>
  <r>
    <x v="80"/>
    <x v="0"/>
    <n v="2852.3"/>
    <n v="2947"/>
    <n v="2842.05"/>
    <n v="2848.95"/>
    <n v="2902.85"/>
    <n v="2917.2"/>
    <n v="2914.54"/>
    <n v="3880"/>
    <n v="1017.45"/>
    <x v="80"/>
    <x v="80"/>
    <x v="80"/>
    <n v="2.3956194387405887"/>
    <n v="104.94999999999982"/>
    <n v="24.901583292526826"/>
    <n v="-24.814432989690726"/>
  </r>
  <r>
    <x v="81"/>
    <x v="0"/>
    <n v="2922"/>
    <n v="2948.2"/>
    <n v="2841"/>
    <n v="2917.2"/>
    <n v="2931"/>
    <n v="2932.4"/>
    <n v="2903.97"/>
    <n v="3880"/>
    <n v="1017.45"/>
    <x v="81"/>
    <x v="81"/>
    <x v="81"/>
    <n v="0.52104757987111872"/>
    <n v="107.19999999999982"/>
    <n v="23.024072398190047"/>
    <n v="-24.422680412371133"/>
  </r>
  <r>
    <x v="82"/>
    <x v="0"/>
    <n v="3047"/>
    <n v="3199"/>
    <n v="2955.6"/>
    <n v="2932.4"/>
    <n v="3005"/>
    <n v="3003"/>
    <n v="3060.56"/>
    <n v="3880"/>
    <n v="1017.45"/>
    <x v="82"/>
    <x v="82"/>
    <x v="82"/>
    <n v="2.407584231346334"/>
    <n v="243.40000000000009"/>
    <n v="25.855963329208699"/>
    <n v="-22.603092783505154"/>
  </r>
  <r>
    <x v="83"/>
    <x v="0"/>
    <n v="3039.4"/>
    <n v="3044.45"/>
    <n v="2990"/>
    <n v="3003"/>
    <n v="2996"/>
    <n v="2998.3"/>
    <n v="3011.56"/>
    <n v="3880"/>
    <n v="1017.45"/>
    <x v="83"/>
    <x v="83"/>
    <x v="83"/>
    <n v="-0.15651015651015046"/>
    <n v="54.449999999999818"/>
    <n v="24.206005092370393"/>
    <n v="-22.724226804123706"/>
  </r>
  <r>
    <x v="84"/>
    <x v="0"/>
    <n v="3009.95"/>
    <n v="3066.9"/>
    <n v="2981.1"/>
    <n v="2998.3"/>
    <n v="3009"/>
    <n v="3006.6"/>
    <n v="3026.08"/>
    <n v="3880"/>
    <n v="1017.45"/>
    <x v="84"/>
    <x v="84"/>
    <x v="84"/>
    <n v="0.27682353333554771"/>
    <n v="85.800000000000182"/>
    <n v="25.570168194018709"/>
    <n v="-22.510309278350519"/>
  </r>
  <r>
    <x v="85"/>
    <x v="0"/>
    <n v="3020"/>
    <n v="3027"/>
    <n v="2952.95"/>
    <n v="3006.6"/>
    <n v="2965"/>
    <n v="2963.5"/>
    <n v="2990.76"/>
    <n v="3880"/>
    <n v="1017.45"/>
    <x v="85"/>
    <x v="85"/>
    <x v="85"/>
    <n v="-1.4335129382026179"/>
    <n v="74.050000000000182"/>
    <n v="23.978278911741057"/>
    <n v="-23.621134020618555"/>
  </r>
  <r>
    <x v="86"/>
    <x v="0"/>
    <n v="2990.7"/>
    <n v="3068.8"/>
    <n v="2980"/>
    <n v="2963.5"/>
    <n v="3024.95"/>
    <n v="3014.6"/>
    <n v="3029.63"/>
    <n v="3880"/>
    <n v="1017.45"/>
    <x v="86"/>
    <x v="86"/>
    <x v="86"/>
    <n v="1.7243124683651059"/>
    <n v="88.800000000000182"/>
    <n v="23.25494399226368"/>
    <n v="-22.30412371134021"/>
  </r>
  <r>
    <x v="87"/>
    <x v="0"/>
    <n v="3024"/>
    <n v="3112"/>
    <n v="3020.05"/>
    <n v="3014.6"/>
    <n v="3107.8"/>
    <n v="3098.2"/>
    <n v="3077.75"/>
    <n v="3880"/>
    <n v="1017.45"/>
    <x v="87"/>
    <x v="87"/>
    <x v="87"/>
    <n v="2.7731705698931837"/>
    <n v="91.949999999999818"/>
    <n v="24.454398703138622"/>
    <n v="-20.149484536082479"/>
  </r>
  <r>
    <x v="88"/>
    <x v="0"/>
    <n v="3120"/>
    <n v="3129"/>
    <n v="3065"/>
    <n v="3098.2"/>
    <n v="3084"/>
    <n v="3080.9"/>
    <n v="3089.22"/>
    <n v="3880"/>
    <n v="1017.45"/>
    <x v="88"/>
    <x v="88"/>
    <x v="88"/>
    <n v="-0.55838874185009768"/>
    <n v="64"/>
    <n v="24.484880630136317"/>
    <n v="-20.595360824742265"/>
  </r>
  <r>
    <x v="89"/>
    <x v="0"/>
    <n v="3096.35"/>
    <n v="3125"/>
    <n v="3068.2"/>
    <n v="3080.9"/>
    <n v="3105.4"/>
    <n v="3104.1"/>
    <n v="3100.07"/>
    <n v="3880"/>
    <n v="1017.45"/>
    <x v="89"/>
    <x v="89"/>
    <x v="89"/>
    <n v="0.7530267129734759"/>
    <n v="56.800000000000182"/>
    <n v="22.171191190449736"/>
    <n v="-19.997422680412374"/>
  </r>
  <r>
    <x v="90"/>
    <x v="0"/>
    <n v="3127"/>
    <n v="3130"/>
    <n v="3067.45"/>
    <n v="3104.1"/>
    <n v="3091.3"/>
    <n v="3089.5"/>
    <n v="3095.46"/>
    <n v="3739.95"/>
    <n v="1017.45"/>
    <x v="90"/>
    <x v="90"/>
    <x v="90"/>
    <n v="-0.47034567185335235"/>
    <n v="62.550000000000182"/>
    <n v="21.293445525674592"/>
    <n v="-17.391943742563399"/>
  </r>
  <r>
    <x v="91"/>
    <x v="0"/>
    <n v="3095"/>
    <n v="3104.5"/>
    <n v="3035"/>
    <n v="3089.5"/>
    <n v="3059"/>
    <n v="3056.5"/>
    <n v="3066.6"/>
    <n v="3739.95"/>
    <n v="1017.45"/>
    <x v="91"/>
    <x v="91"/>
    <x v="91"/>
    <n v="-1.0681340022657388"/>
    <n v="69.5"/>
    <n v="31.049829048224446"/>
    <n v="-18.27430848005989"/>
  </r>
  <r>
    <x v="92"/>
    <x v="0"/>
    <n v="3033"/>
    <n v="3045"/>
    <n v="2946.3"/>
    <n v="3056.5"/>
    <n v="2978"/>
    <n v="2971.05"/>
    <n v="2994.68"/>
    <n v="3739.95"/>
    <n v="1017.45"/>
    <x v="92"/>
    <x v="92"/>
    <x v="92"/>
    <n v="-2.7956813348601282"/>
    <n v="98.699999999999818"/>
    <n v="24.93195645626264"/>
    <n v="-20.559098383668221"/>
  </r>
  <r>
    <x v="93"/>
    <x v="0"/>
    <n v="2975.55"/>
    <n v="2985"/>
    <n v="2885.1"/>
    <n v="2971.05"/>
    <n v="2925.05"/>
    <n v="2918.9"/>
    <n v="2923.25"/>
    <n v="3739.95"/>
    <n v="1017.45"/>
    <x v="93"/>
    <x v="93"/>
    <x v="93"/>
    <n v="-1.7552717052893789"/>
    <n v="99.900000000000091"/>
    <n v="18.504349969550212"/>
    <n v="-21.953502052166467"/>
  </r>
  <r>
    <x v="94"/>
    <x v="0"/>
    <n v="2945.35"/>
    <n v="2949.45"/>
    <n v="2903.05"/>
    <n v="2918.9"/>
    <n v="2915.3"/>
    <n v="2915.65"/>
    <n v="2926.36"/>
    <n v="3739.95"/>
    <n v="1017.45"/>
    <x v="94"/>
    <x v="94"/>
    <x v="94"/>
    <n v="-0.11134331426222208"/>
    <n v="46.399999999999636"/>
    <n v="22.810469211864504"/>
    <n v="-22.04040160964718"/>
  </r>
  <r>
    <x v="95"/>
    <x v="0"/>
    <n v="2930"/>
    <n v="3015.85"/>
    <n v="2890.5"/>
    <n v="2915.65"/>
    <n v="2987.85"/>
    <n v="2987.9"/>
    <n v="2939.51"/>
    <n v="3739.95"/>
    <n v="1017.45"/>
    <x v="95"/>
    <x v="95"/>
    <x v="95"/>
    <n v="2.4780066194502086"/>
    <n v="125.34999999999991"/>
    <n v="22.433884988298228"/>
    <n v="-20.10855760103744"/>
  </r>
  <r>
    <x v="96"/>
    <x v="0"/>
    <n v="3014.95"/>
    <n v="3014.95"/>
    <n v="2885.5"/>
    <n v="2987.9"/>
    <n v="2900.35"/>
    <n v="2896.55"/>
    <n v="2945.88"/>
    <n v="3508"/>
    <n v="1017.45"/>
    <x v="96"/>
    <x v="96"/>
    <x v="96"/>
    <n v="-3.0573312359851368"/>
    <n v="129.44999999999982"/>
    <n v="17.969392070657893"/>
    <n v="-17.430159635119722"/>
  </r>
  <r>
    <x v="97"/>
    <x v="0"/>
    <n v="2901"/>
    <n v="2929.1"/>
    <n v="2871.25"/>
    <n v="2896.55"/>
    <n v="2908"/>
    <n v="2903.45"/>
    <n v="2891.63"/>
    <n v="3508"/>
    <n v="1017.45"/>
    <x v="97"/>
    <x v="97"/>
    <x v="97"/>
    <n v="0.23821442750857524"/>
    <n v="57.849999999999909"/>
    <n v="36.125320329410592"/>
    <n v="-17.233466362599778"/>
  </r>
  <r>
    <x v="98"/>
    <x v="0"/>
    <n v="2903.45"/>
    <n v="2926.35"/>
    <n v="2804.4"/>
    <n v="2903.45"/>
    <n v="2903"/>
    <n v="2893.6"/>
    <n v="2860.14"/>
    <n v="3508"/>
    <n v="1017.45"/>
    <x v="98"/>
    <x v="98"/>
    <x v="98"/>
    <n v="-0.33925158001687339"/>
    <n v="121.94999999999982"/>
    <n v="19.236511363132291"/>
    <n v="-17.514253135689856"/>
  </r>
  <r>
    <x v="99"/>
    <x v="0"/>
    <n v="2929"/>
    <n v="3092.7"/>
    <n v="2923.05"/>
    <n v="2893.6"/>
    <n v="3061"/>
    <n v="3064.65"/>
    <n v="3044.27"/>
    <n v="3199"/>
    <n v="1017.45"/>
    <x v="99"/>
    <x v="99"/>
    <x v="99"/>
    <n v="5.9113215371855192"/>
    <n v="169.64999999999964"/>
    <n v="15.907624718191803"/>
    <n v="-4.1997499218505752"/>
  </r>
  <r>
    <x v="100"/>
    <x v="0"/>
    <n v="3081"/>
    <n v="3129.9"/>
    <n v="3020.9"/>
    <n v="3064.65"/>
    <n v="3096"/>
    <n v="3091.1"/>
    <n v="3090.43"/>
    <n v="3199"/>
    <n v="1017.45"/>
    <x v="100"/>
    <x v="100"/>
    <x v="100"/>
    <n v="0.86306756073286728"/>
    <n v="109"/>
    <n v="20.494188226471692"/>
    <n v="-3.3729290403251047"/>
  </r>
  <r>
    <x v="101"/>
    <x v="0"/>
    <n v="3092.75"/>
    <n v="3151.7"/>
    <n v="3072.4"/>
    <n v="3091.1"/>
    <n v="3138"/>
    <n v="3142"/>
    <n v="3116.94"/>
    <n v="3199"/>
    <n v="1017.45"/>
    <x v="101"/>
    <x v="101"/>
    <x v="101"/>
    <n v="1.6466630002264595"/>
    <n v="79.299999999999727"/>
    <n v="23.082814822496456"/>
    <n v="-1.7818068146295718"/>
  </r>
  <r>
    <x v="102"/>
    <x v="0"/>
    <n v="3156.9"/>
    <n v="3236.95"/>
    <n v="3083.05"/>
    <n v="3142"/>
    <n v="3154.85"/>
    <n v="3153.5"/>
    <n v="3162.65"/>
    <n v="3236.95"/>
    <n v="1017.45"/>
    <x v="102"/>
    <x v="102"/>
    <x v="102"/>
    <n v="0.36600891152132398"/>
    <n v="153.89999999999964"/>
    <n v="22.135502519801818"/>
    <n v="-2.5780441464959241"/>
  </r>
  <r>
    <x v="103"/>
    <x v="0"/>
    <n v="3184.95"/>
    <n v="3208.5"/>
    <n v="3140"/>
    <n v="3153.5"/>
    <n v="3157"/>
    <n v="3157.45"/>
    <n v="3173.2"/>
    <n v="3236.95"/>
    <n v="1017.45"/>
    <x v="103"/>
    <x v="103"/>
    <x v="103"/>
    <n v="0.12525765022989752"/>
    <n v="68.5"/>
    <n v="21.849953213732576"/>
    <n v="-2.4560156937858171"/>
  </r>
  <r>
    <x v="104"/>
    <x v="0"/>
    <n v="3170"/>
    <n v="3229.4"/>
    <n v="3151.45"/>
    <n v="3157.45"/>
    <n v="3175.25"/>
    <n v="3173.45"/>
    <n v="3192.8"/>
    <n v="3236.95"/>
    <n v="1103.75"/>
    <x v="104"/>
    <x v="104"/>
    <x v="104"/>
    <n v="0.5067380322728785"/>
    <n v="77.950000000000273"/>
    <n v="16.538693778351412"/>
    <n v="-1.961723227111942"/>
  </r>
  <r>
    <x v="105"/>
    <x v="0"/>
    <n v="3183.9"/>
    <n v="3228.2"/>
    <n v="3160"/>
    <n v="3173.45"/>
    <n v="3200.65"/>
    <n v="3203.75"/>
    <n v="3197.81"/>
    <n v="3236.95"/>
    <n v="1103.75"/>
    <x v="105"/>
    <x v="105"/>
    <x v="105"/>
    <n v="0.95479682994848458"/>
    <n v="68.199999999999818"/>
    <n v="13.983070114076625"/>
    <n v="-1.0256568683482852"/>
  </r>
  <r>
    <x v="106"/>
    <x v="0"/>
    <n v="3220.05"/>
    <n v="3277.95"/>
    <n v="3210"/>
    <n v="3203.75"/>
    <n v="3233"/>
    <n v="3229.85"/>
    <n v="3242.51"/>
    <n v="3277.95"/>
    <n v="1103.75"/>
    <x v="106"/>
    <x v="106"/>
    <x v="106"/>
    <n v="0.81467030823253717"/>
    <n v="67.949999999999818"/>
    <n v="17.12653418098024"/>
    <n v="-1.4673805274638085"/>
  </r>
  <r>
    <x v="107"/>
    <x v="0"/>
    <n v="3245.6"/>
    <n v="3245.6"/>
    <n v="3146.1"/>
    <n v="3229.85"/>
    <n v="3179"/>
    <n v="3168.6"/>
    <n v="3186.56"/>
    <n v="3277.95"/>
    <n v="1103.75"/>
    <x v="107"/>
    <x v="107"/>
    <x v="107"/>
    <n v="-1.8963728965741444"/>
    <n v="99.5"/>
    <n v="13.231130514271305"/>
    <n v="-3.3359264174255228"/>
  </r>
  <r>
    <x v="108"/>
    <x v="0"/>
    <n v="3184.45"/>
    <n v="3224.95"/>
    <n v="3121.2"/>
    <n v="3168.6"/>
    <n v="3215"/>
    <n v="3215.2"/>
    <n v="3182.28"/>
    <n v="3277.95"/>
    <n v="1103.75"/>
    <x v="108"/>
    <x v="108"/>
    <x v="108"/>
    <n v="1.4706810578804492"/>
    <n v="103.75"/>
    <n v="17.089217028489472"/>
    <n v="-1.9143061974709805"/>
  </r>
  <r>
    <x v="109"/>
    <x v="0"/>
    <n v="3229"/>
    <n v="3241.95"/>
    <n v="3160"/>
    <n v="3215.2"/>
    <n v="3166"/>
    <n v="3169.75"/>
    <n v="3193.32"/>
    <n v="3277.95"/>
    <n v="1103.75"/>
    <x v="109"/>
    <x v="109"/>
    <x v="109"/>
    <n v="-1.4135979099278373"/>
    <n v="81.949999999999818"/>
    <n v="16.813691400186279"/>
    <n v="-3.3008435150017488"/>
  </r>
  <r>
    <x v="110"/>
    <x v="0"/>
    <n v="3180"/>
    <n v="3194"/>
    <n v="3092.05"/>
    <n v="3169.75"/>
    <n v="3180"/>
    <n v="3178.45"/>
    <n v="3142.91"/>
    <n v="3277.95"/>
    <n v="1103.75"/>
    <x v="110"/>
    <x v="110"/>
    <x v="110"/>
    <n v="0.27446959539395277"/>
    <n v="101.94999999999982"/>
    <n v="16.65181168283998"/>
    <n v="-3.0354337314480091"/>
  </r>
  <r>
    <x v="111"/>
    <x v="0"/>
    <n v="3184"/>
    <n v="3255.25"/>
    <n v="3169.85"/>
    <n v="3178.45"/>
    <n v="3202"/>
    <n v="3207.2"/>
    <n v="3212.71"/>
    <n v="3277.95"/>
    <n v="1103.75"/>
    <x v="111"/>
    <x v="111"/>
    <x v="111"/>
    <n v="0.90452893706051696"/>
    <n v="85.400000000000091"/>
    <n v="17.1256146976671"/>
    <n v="-2.1583611708537349"/>
  </r>
  <r>
    <x v="112"/>
    <x v="0"/>
    <n v="3219.85"/>
    <n v="3252.75"/>
    <n v="3184.05"/>
    <n v="3207.2"/>
    <n v="3190.4"/>
    <n v="3193.8"/>
    <n v="3214.66"/>
    <n v="3277.95"/>
    <n v="1103.75"/>
    <x v="112"/>
    <x v="112"/>
    <x v="112"/>
    <n v="-0.41780992766274744"/>
    <n v="68.699999999999818"/>
    <n v="22.480989727162267"/>
    <n v="-2.5671532512698376"/>
  </r>
  <r>
    <x v="113"/>
    <x v="0"/>
    <n v="3214"/>
    <n v="3252.3"/>
    <n v="3192.65"/>
    <n v="3193.8"/>
    <n v="3223.2"/>
    <n v="3223.6"/>
    <n v="3221.58"/>
    <n v="3277.95"/>
    <n v="1103.75"/>
    <x v="113"/>
    <x v="113"/>
    <x v="113"/>
    <n v="0.93305779948649648"/>
    <n v="59.650000000000091"/>
    <n v="25.810954229909402"/>
    <n v="-1.6580484754190854"/>
  </r>
  <r>
    <x v="114"/>
    <x v="0"/>
    <n v="3240"/>
    <n v="3308.6"/>
    <n v="3235.8"/>
    <n v="3223.6"/>
    <n v="3265"/>
    <n v="3258.8"/>
    <n v="3275.82"/>
    <n v="3308.6"/>
    <n v="1103.75"/>
    <x v="114"/>
    <x v="114"/>
    <x v="114"/>
    <n v="1.0919468916739135"/>
    <n v="72.799999999999727"/>
    <n v="20.231990176459888"/>
    <n v="-1.50516834915069"/>
  </r>
  <r>
    <x v="115"/>
    <x v="0"/>
    <n v="3267"/>
    <n v="3269.8"/>
    <n v="3210.15"/>
    <n v="3258.8"/>
    <n v="3235"/>
    <n v="3228.6"/>
    <n v="3238.23"/>
    <n v="3308.6"/>
    <n v="1103.75"/>
    <x v="115"/>
    <x v="115"/>
    <x v="115"/>
    <n v="-0.92672149257396197"/>
    <n v="59.650000000000091"/>
    <n v="23.779995787222322"/>
    <n v="-2.4179411231336516"/>
  </r>
  <r>
    <x v="116"/>
    <x v="0"/>
    <n v="3238"/>
    <n v="3300"/>
    <n v="3205"/>
    <n v="3228.6"/>
    <n v="3226.95"/>
    <n v="3223.2"/>
    <n v="3258"/>
    <n v="3308.6"/>
    <n v="1103.75"/>
    <x v="116"/>
    <x v="116"/>
    <x v="116"/>
    <n v="-0.16725515703401136"/>
    <n v="95"/>
    <n v="15.64703493862134"/>
    <n v="-2.5811521489451761"/>
  </r>
  <r>
    <x v="117"/>
    <x v="0"/>
    <n v="3239"/>
    <n v="3274"/>
    <n v="3210.5"/>
    <n v="3223.2"/>
    <n v="3261.3"/>
    <n v="3263.05"/>
    <n v="3236.68"/>
    <n v="3308.6"/>
    <n v="1103.75"/>
    <x v="117"/>
    <x v="117"/>
    <x v="117"/>
    <n v="1.2363489699677452"/>
    <n v="63.5"/>
    <n v="12.799950541236244"/>
    <n v="-1.3767152269842147"/>
  </r>
  <r>
    <x v="118"/>
    <x v="0"/>
    <n v="3263.05"/>
    <n v="3319.95"/>
    <n v="3225.1"/>
    <n v="3263.05"/>
    <n v="3273.05"/>
    <n v="3273.3"/>
    <n v="3281.89"/>
    <n v="3319.95"/>
    <n v="1103.75"/>
    <x v="118"/>
    <x v="118"/>
    <x v="118"/>
    <n v="0.3141232895603806"/>
    <n v="94.849999999999909"/>
    <n v="23.418924527183258"/>
    <n v="-1.4051416436994424"/>
  </r>
  <r>
    <x v="119"/>
    <x v="0"/>
    <n v="3272"/>
    <n v="3344"/>
    <n v="3263"/>
    <n v="3273.3"/>
    <n v="3328"/>
    <n v="3327.75"/>
    <n v="3318.26"/>
    <n v="3344"/>
    <n v="1103.75"/>
    <x v="119"/>
    <x v="119"/>
    <x v="119"/>
    <n v="1.6634588946934232"/>
    <n v="81"/>
    <n v="16.166781096235269"/>
    <n v="-0.48594497607655507"/>
  </r>
  <r>
    <x v="120"/>
    <x v="0"/>
    <n v="3339"/>
    <n v="3340"/>
    <n v="3273"/>
    <n v="3327.75"/>
    <n v="3296"/>
    <n v="3302.3"/>
    <n v="3306.04"/>
    <n v="3344"/>
    <n v="1103.75"/>
    <x v="120"/>
    <x v="120"/>
    <x v="120"/>
    <n v="-0.76478100818871064"/>
    <n v="67"/>
    <n v="17.200293403016548"/>
    <n v="-1.247009569377985"/>
  </r>
  <r>
    <x v="121"/>
    <x v="0"/>
    <n v="3309.2"/>
    <n v="3318.8"/>
    <n v="3207.5"/>
    <n v="3302.3"/>
    <n v="3218.9"/>
    <n v="3219"/>
    <n v="3252.19"/>
    <n v="3344"/>
    <n v="1103.75"/>
    <x v="121"/>
    <x v="121"/>
    <x v="121"/>
    <n v="-2.5224843291039631"/>
    <n v="111.30000000000018"/>
    <n v="13.856214948506169"/>
    <n v="-3.7380382775119618"/>
  </r>
  <r>
    <x v="122"/>
    <x v="0"/>
    <n v="3220.05"/>
    <n v="3304.75"/>
    <n v="3205.35"/>
    <n v="3219"/>
    <n v="3299.9"/>
    <n v="3285.4"/>
    <n v="3260.07"/>
    <n v="3344"/>
    <n v="1103.75"/>
    <x v="122"/>
    <x v="122"/>
    <x v="122"/>
    <n v="2.0627524075799966"/>
    <n v="99.400000000000091"/>
    <n v="14.177954290624443"/>
    <n v="-1.7523923444976048"/>
  </r>
  <r>
    <x v="123"/>
    <x v="0"/>
    <n v="3309.85"/>
    <n v="3346"/>
    <n v="3281.8"/>
    <n v="3285.4"/>
    <n v="3321.5"/>
    <n v="3318.75"/>
    <n v="3314.26"/>
    <n v="3346"/>
    <n v="1103.75"/>
    <x v="123"/>
    <x v="123"/>
    <x v="123"/>
    <n v="1.0150970962439858"/>
    <n v="64.199999999999818"/>
    <n v="18.039074637996396"/>
    <n v="-0.81440526001195446"/>
  </r>
  <r>
    <x v="124"/>
    <x v="0"/>
    <n v="3332"/>
    <n v="3348.7"/>
    <n v="3321.5"/>
    <n v="3318.75"/>
    <n v="3332.5"/>
    <n v="3333.25"/>
    <n v="3333.12"/>
    <n v="3348.7"/>
    <n v="1103.75"/>
    <x v="124"/>
    <x v="124"/>
    <x v="124"/>
    <n v="0.43691148775894539"/>
    <n v="27.199999999999818"/>
    <n v="13.047052401746726"/>
    <n v="-0.4613730701466186"/>
  </r>
  <r>
    <x v="125"/>
    <x v="0"/>
    <n v="3335"/>
    <n v="3350"/>
    <n v="3310.05"/>
    <n v="3333.25"/>
    <n v="3320.95"/>
    <n v="3317.15"/>
    <n v="3325.35"/>
    <n v="3350"/>
    <n v="1573"/>
    <x v="125"/>
    <x v="125"/>
    <x v="125"/>
    <n v="-0.48301207530187984"/>
    <n v="39.949999999999818"/>
    <n v="17.714858029946416"/>
    <n v="-0.98059701492537044"/>
  </r>
  <r>
    <x v="126"/>
    <x v="0"/>
    <n v="3325.3"/>
    <n v="3334"/>
    <n v="3295.05"/>
    <n v="3317.15"/>
    <n v="3328"/>
    <n v="3310.2"/>
    <n v="3314.16"/>
    <n v="3350"/>
    <n v="1573"/>
    <x v="126"/>
    <x v="126"/>
    <x v="126"/>
    <n v="-0.2095172060353096"/>
    <n v="38.949999999999818"/>
    <n v="17.331023337749503"/>
    <n v="-1.1880597014925427"/>
  </r>
  <r>
    <x v="127"/>
    <x v="0"/>
    <n v="3323"/>
    <n v="3323"/>
    <n v="3183.15"/>
    <n v="3310.2"/>
    <n v="3238"/>
    <n v="3233.95"/>
    <n v="3226.77"/>
    <n v="3350"/>
    <n v="1573"/>
    <x v="127"/>
    <x v="127"/>
    <x v="127"/>
    <n v="-2.3034861941876628"/>
    <n v="139.84999999999991"/>
    <n v="17.366672051116375"/>
    <n v="-3.4641791044776173"/>
  </r>
  <r>
    <x v="128"/>
    <x v="0"/>
    <n v="3240"/>
    <n v="3262"/>
    <n v="3220"/>
    <n v="3233.95"/>
    <n v="3229"/>
    <n v="3226.55"/>
    <n v="3240.29"/>
    <n v="3350"/>
    <n v="1573"/>
    <x v="128"/>
    <x v="128"/>
    <x v="128"/>
    <n v="-0.22882233800768834"/>
    <n v="42"/>
    <n v="16.271338451014667"/>
    <n v="-3.6850746268656662"/>
  </r>
  <r>
    <x v="129"/>
    <x v="0"/>
    <n v="3241.2"/>
    <n v="3259"/>
    <n v="3200"/>
    <n v="3226.55"/>
    <n v="3210"/>
    <n v="3207.35"/>
    <n v="3229.54"/>
    <n v="3350"/>
    <n v="1573"/>
    <x v="129"/>
    <x v="129"/>
    <x v="129"/>
    <n v="-0.59506283801584581"/>
    <n v="59"/>
    <n v="15.113445292204471"/>
    <n v="-4.2582089552238838"/>
  </r>
  <r>
    <x v="130"/>
    <x v="0"/>
    <n v="3207.35"/>
    <n v="3222.7"/>
    <n v="3111"/>
    <n v="3207.35"/>
    <n v="3122.9"/>
    <n v="3122.5"/>
    <n v="3156.27"/>
    <n v="3350"/>
    <n v="1573"/>
    <x v="130"/>
    <x v="130"/>
    <x v="130"/>
    <n v="-2.6454861490015094"/>
    <n v="111.69999999999982"/>
    <n v="13.92097627779583"/>
    <n v="-6.7910447761194019"/>
  </r>
  <r>
    <x v="131"/>
    <x v="0"/>
    <n v="3125"/>
    <n v="3138.05"/>
    <n v="2850.15"/>
    <n v="3122.5"/>
    <n v="2909.8"/>
    <n v="2906.2"/>
    <n v="2950.44"/>
    <n v="3350"/>
    <n v="1573"/>
    <x v="131"/>
    <x v="131"/>
    <x v="131"/>
    <n v="-6.9271417133707018"/>
    <n v="287.90000000000009"/>
    <n v="14.326851914149229"/>
    <n v="-13.247761194029856"/>
  </r>
  <r>
    <x v="132"/>
    <x v="0"/>
    <n v="2927.45"/>
    <n v="3101.2"/>
    <n v="2880"/>
    <n v="2906.2"/>
    <n v="3085"/>
    <n v="3087.45"/>
    <n v="3033.64"/>
    <n v="3350"/>
    <n v="1573"/>
    <x v="132"/>
    <x v="132"/>
    <x v="132"/>
    <n v="6.2366664372720395"/>
    <n v="221.19999999999982"/>
    <n v="15.242169285352256"/>
    <n v="-7.8373134328358267"/>
  </r>
  <r>
    <x v="133"/>
    <x v="0"/>
    <n v="3111"/>
    <n v="3143.4"/>
    <n v="3061.25"/>
    <n v="3087.45"/>
    <n v="3125"/>
    <n v="3132.2"/>
    <n v="3108.38"/>
    <n v="3350"/>
    <n v="1573"/>
    <x v="133"/>
    <x v="133"/>
    <x v="133"/>
    <n v="1.449416184877488"/>
    <n v="82.150000000000091"/>
    <n v="18.287531912416529"/>
    <n v="-6.5014925373134389"/>
  </r>
  <r>
    <x v="134"/>
    <x v="0"/>
    <n v="3050.1"/>
    <n v="3124"/>
    <n v="2976.05"/>
    <n v="3132.2"/>
    <n v="3110"/>
    <n v="3111.75"/>
    <n v="3053.4"/>
    <n v="3350"/>
    <n v="1573"/>
    <x v="134"/>
    <x v="134"/>
    <x v="134"/>
    <n v="-0.65289572824212438"/>
    <n v="147.94999999999982"/>
    <n v="19.064691175456954"/>
    <n v="-7.1119402985074629"/>
  </r>
  <r>
    <x v="135"/>
    <x v="0"/>
    <n v="3126"/>
    <n v="3164.8"/>
    <n v="3041.85"/>
    <n v="3111.75"/>
    <n v="3055.9"/>
    <n v="3052.7"/>
    <n v="3093.78"/>
    <n v="3350"/>
    <n v="1573"/>
    <x v="135"/>
    <x v="135"/>
    <x v="135"/>
    <n v="-1.8976460191210791"/>
    <n v="122.95000000000027"/>
    <n v="15.72492059219381"/>
    <n v="-8.8746268656716474"/>
  </r>
  <r>
    <x v="136"/>
    <x v="0"/>
    <n v="3075"/>
    <n v="3083.2"/>
    <n v="3021.1"/>
    <n v="3052.7"/>
    <n v="3050.1"/>
    <n v="3051.45"/>
    <n v="3046.55"/>
    <n v="3350"/>
    <n v="1573"/>
    <x v="136"/>
    <x v="136"/>
    <x v="136"/>
    <n v="-4.0947358076456906E-2"/>
    <n v="62.099999999999909"/>
    <n v="15.046721260430937"/>
    <n v="-8.9119402985074672"/>
  </r>
  <r>
    <x v="137"/>
    <x v="0"/>
    <n v="3089.55"/>
    <n v="3107.1"/>
    <n v="3059.6"/>
    <n v="3051.45"/>
    <n v="3071.65"/>
    <n v="3066.5"/>
    <n v="3080.51"/>
    <n v="3350"/>
    <n v="1573"/>
    <x v="137"/>
    <x v="137"/>
    <x v="137"/>
    <n v="0.49320814694653958"/>
    <n v="47.5"/>
    <n v="17.483806209850108"/>
    <n v="-8.4626865671641802"/>
  </r>
  <r>
    <x v="138"/>
    <x v="0"/>
    <n v="3066.55"/>
    <n v="3128.95"/>
    <n v="3048.05"/>
    <n v="3066.5"/>
    <n v="3103"/>
    <n v="3107.7"/>
    <n v="3095.08"/>
    <n v="3350"/>
    <n v="1573"/>
    <x v="138"/>
    <x v="138"/>
    <x v="138"/>
    <n v="1.3435512799608615"/>
    <n v="80.899999999999636"/>
    <n v="15.041050202326758"/>
    <n v="-7.2328358208955281"/>
  </r>
  <r>
    <x v="139"/>
    <x v="0"/>
    <n v="3100.5"/>
    <n v="3171.95"/>
    <n v="3089.1"/>
    <n v="3107.7"/>
    <n v="3112"/>
    <n v="3109.95"/>
    <n v="3130.27"/>
    <n v="3350"/>
    <n v="1573"/>
    <x v="139"/>
    <x v="139"/>
    <x v="139"/>
    <n v="7.2400810889081957E-2"/>
    <n v="82.849999999999909"/>
    <n v="14.111934342293502"/>
    <n v="-7.1656716417910511"/>
  </r>
  <r>
    <x v="140"/>
    <x v="0"/>
    <n v="3115"/>
    <n v="3138.45"/>
    <n v="3106.25"/>
    <n v="3109.95"/>
    <n v="3124.25"/>
    <n v="3122.1"/>
    <n v="3122.82"/>
    <n v="3350"/>
    <n v="1573"/>
    <x v="140"/>
    <x v="140"/>
    <x v="140"/>
    <n v="0.39068152221097102"/>
    <n v="32.199999999999818"/>
    <n v="13.444912406469824"/>
    <n v="-6.8029850746268687"/>
  </r>
  <r>
    <x v="141"/>
    <x v="0"/>
    <n v="3134"/>
    <n v="3237"/>
    <n v="3096.75"/>
    <n v="3122.1"/>
    <n v="3197"/>
    <n v="3197.1"/>
    <n v="3178.72"/>
    <n v="3350"/>
    <n v="1573"/>
    <x v="141"/>
    <x v="141"/>
    <x v="141"/>
    <n v="2.4022292687614106"/>
    <n v="140.25"/>
    <n v="16.444906929741496"/>
    <n v="-4.5641791044776152"/>
  </r>
  <r>
    <x v="142"/>
    <x v="0"/>
    <n v="3230.2"/>
    <n v="3291.8"/>
    <n v="3207.85"/>
    <n v="3197.1"/>
    <n v="3255.2"/>
    <n v="3252.1"/>
    <n v="3247.41"/>
    <n v="3350"/>
    <n v="1671.55"/>
    <x v="142"/>
    <x v="142"/>
    <x v="142"/>
    <n v="1.7203090300584905"/>
    <n v="83.950000000000273"/>
    <n v="18.206281690140845"/>
    <n v="-2.9223880597014951"/>
  </r>
  <r>
    <x v="143"/>
    <x v="0"/>
    <n v="3258.95"/>
    <n v="3285"/>
    <n v="3240"/>
    <n v="3252.1"/>
    <n v="3267.35"/>
    <n v="3268.75"/>
    <n v="3259.76"/>
    <n v="3350"/>
    <n v="1671.55"/>
    <x v="143"/>
    <x v="143"/>
    <x v="143"/>
    <n v="0.51197687647981582"/>
    <n v="45"/>
    <n v="15.776524849739427"/>
    <n v="-2.4253731343283582"/>
  </r>
  <r>
    <x v="144"/>
    <x v="0"/>
    <n v="3250"/>
    <n v="3260.15"/>
    <n v="3222"/>
    <n v="3268.75"/>
    <n v="3238"/>
    <n v="3233.45"/>
    <n v="3238.76"/>
    <n v="3350"/>
    <n v="1671.55"/>
    <x v="144"/>
    <x v="144"/>
    <x v="144"/>
    <n v="-1.0799235181644415"/>
    <n v="38.150000000000091"/>
    <n v="20.731167523641723"/>
    <n v="-3.479104477611946"/>
  </r>
  <r>
    <x v="145"/>
    <x v="0"/>
    <n v="3250"/>
    <n v="3273"/>
    <n v="3201.7"/>
    <n v="3233.45"/>
    <n v="3220"/>
    <n v="3210.8"/>
    <n v="3234.57"/>
    <n v="3350"/>
    <n v="1671.55"/>
    <x v="145"/>
    <x v="145"/>
    <x v="145"/>
    <n v="-0.70049018849834188"/>
    <n v="71.300000000000182"/>
    <n v="14.133946819971205"/>
    <n v="-4.1552238805970099"/>
  </r>
  <r>
    <x v="146"/>
    <x v="0"/>
    <n v="3211.1"/>
    <n v="3234"/>
    <n v="3178.95"/>
    <n v="3210.8"/>
    <n v="3217.9"/>
    <n v="3224.8"/>
    <n v="3215.34"/>
    <n v="3350"/>
    <n v="1671.55"/>
    <x v="146"/>
    <x v="146"/>
    <x v="146"/>
    <n v="0.43602840413604083"/>
    <n v="55.050000000000182"/>
    <n v="20.151132090567245"/>
    <n v="-3.7373134328358155"/>
  </r>
  <r>
    <x v="147"/>
    <x v="0"/>
    <n v="3240.95"/>
    <n v="3243.5"/>
    <n v="3197.2"/>
    <n v="3224.8"/>
    <n v="3236"/>
    <n v="3224.55"/>
    <n v="3216.9"/>
    <n v="3350"/>
    <n v="1760.6"/>
    <x v="147"/>
    <x v="147"/>
    <x v="147"/>
    <n v="-7.7524187546514503E-3"/>
    <n v="46.300000000000182"/>
    <n v="15.575755940981308"/>
    <n v="-3.7447761194029794"/>
  </r>
  <r>
    <x v="148"/>
    <x v="0"/>
    <n v="3240.7"/>
    <n v="3251"/>
    <n v="3185"/>
    <n v="3224.55"/>
    <n v="3202.6"/>
    <n v="3198.45"/>
    <n v="3214.28"/>
    <n v="3350"/>
    <n v="1760.6"/>
    <x v="148"/>
    <x v="148"/>
    <x v="148"/>
    <n v="-0.80941526724660384"/>
    <n v="66"/>
    <n v="21.693442622950819"/>
    <n v="-4.5238805970149309"/>
  </r>
  <r>
    <x v="149"/>
    <x v="0"/>
    <n v="3200"/>
    <n v="3254.6"/>
    <n v="3192.5"/>
    <n v="3198.45"/>
    <n v="3245"/>
    <n v="3242"/>
    <n v="3231.43"/>
    <n v="3350"/>
    <n v="1760.6"/>
    <x v="149"/>
    <x v="149"/>
    <x v="149"/>
    <n v="1.3615970235582917"/>
    <n v="62.099999999999909"/>
    <n v="25.887156457697145"/>
    <n v="-3.2238805970149254"/>
  </r>
  <r>
    <x v="150"/>
    <x v="0"/>
    <n v="3210"/>
    <n v="3247.5"/>
    <n v="3205.3"/>
    <n v="3242"/>
    <n v="3215"/>
    <n v="3209.9"/>
    <n v="3221.01"/>
    <n v="3350"/>
    <n v="1760.6"/>
    <x v="150"/>
    <x v="150"/>
    <x v="150"/>
    <n v="-0.99012954966070044"/>
    <n v="42.199999999999818"/>
    <n v="17.460395671874615"/>
    <n v="-4.1820895522388035"/>
  </r>
  <r>
    <x v="151"/>
    <x v="0"/>
    <n v="3150"/>
    <n v="3180.3"/>
    <n v="3103.2"/>
    <n v="3209.9"/>
    <n v="3149.95"/>
    <n v="3147.45"/>
    <n v="3143.46"/>
    <n v="3350"/>
    <n v="1775.8"/>
    <x v="151"/>
    <x v="151"/>
    <x v="151"/>
    <n v="-1.9455434748746152"/>
    <n v="77.100000000000364"/>
    <n v="14.095021577249275"/>
    <n v="-6.046268656716423"/>
  </r>
  <r>
    <x v="152"/>
    <x v="0"/>
    <n v="3101"/>
    <n v="3149.2"/>
    <n v="3100"/>
    <n v="3147.45"/>
    <n v="3108"/>
    <n v="3106.4"/>
    <n v="3119.45"/>
    <n v="3350"/>
    <n v="1775.8"/>
    <x v="152"/>
    <x v="152"/>
    <x v="152"/>
    <n v="-1.3042304087435774"/>
    <n v="49.199999999999818"/>
    <n v="23.33615900580223"/>
    <n v="-7.2716417910447735"/>
  </r>
  <r>
    <x v="153"/>
    <x v="0"/>
    <n v="3125.15"/>
    <n v="3145"/>
    <n v="3008.3"/>
    <n v="3106.4"/>
    <n v="3035"/>
    <n v="3019.3"/>
    <n v="3095.25"/>
    <n v="3350"/>
    <n v="1775.8"/>
    <x v="153"/>
    <x v="153"/>
    <x v="153"/>
    <n v="-2.8038887458150885"/>
    <n v="136.69999999999982"/>
    <n v="15.94875491480996"/>
    <n v="-9.8716417910447696"/>
  </r>
  <r>
    <x v="154"/>
    <x v="0"/>
    <n v="3000"/>
    <n v="3057.05"/>
    <n v="2962.5"/>
    <n v="3019.3"/>
    <n v="3032"/>
    <n v="3026.95"/>
    <n v="3020.56"/>
    <n v="3350"/>
    <n v="1775.8"/>
    <x v="154"/>
    <x v="154"/>
    <x v="154"/>
    <n v="0.25336998642068148"/>
    <n v="94.550000000000182"/>
    <n v="18.832295766509304"/>
    <n v="-9.643283582089559"/>
  </r>
  <r>
    <x v="155"/>
    <x v="0"/>
    <n v="3053"/>
    <n v="3077.5"/>
    <n v="3025"/>
    <n v="3026.95"/>
    <n v="3072.25"/>
    <n v="3063.35"/>
    <n v="3050.24"/>
    <n v="3350"/>
    <n v="1775.8"/>
    <x v="155"/>
    <x v="155"/>
    <x v="155"/>
    <n v="1.2025306001090237"/>
    <n v="52.5"/>
    <n v="19.392601408698027"/>
    <n v="-8.5567164179104509"/>
  </r>
  <r>
    <x v="156"/>
    <x v="0"/>
    <n v="3059"/>
    <n v="3091"/>
    <n v="3043.1"/>
    <n v="3063.35"/>
    <n v="3058"/>
    <n v="3065.1"/>
    <n v="3066.74"/>
    <n v="3350"/>
    <n v="1775.8"/>
    <x v="156"/>
    <x v="156"/>
    <x v="156"/>
    <n v="5.7127001485302045E-2"/>
    <n v="47.900000000000091"/>
    <n v="27.022198990509484"/>
    <n v="-8.5044776119403025"/>
  </r>
  <r>
    <x v="157"/>
    <x v="0"/>
    <n v="3071.95"/>
    <n v="3087.85"/>
    <n v="3040"/>
    <n v="3065.1"/>
    <n v="3042.9"/>
    <n v="3043.55"/>
    <n v="3066.42"/>
    <n v="3350"/>
    <n v="1775.8"/>
    <x v="157"/>
    <x v="157"/>
    <x v="157"/>
    <n v="-0.70307657172685156"/>
    <n v="47.849999999999909"/>
    <n v="16.525760261830083"/>
    <n v="-9.1477611940298456"/>
  </r>
  <r>
    <x v="158"/>
    <x v="0"/>
    <n v="3050"/>
    <n v="3120.9"/>
    <n v="3025.65"/>
    <n v="3043.55"/>
    <n v="3115"/>
    <n v="3115.25"/>
    <n v="3078.5"/>
    <n v="3350"/>
    <n v="1775.8"/>
    <x v="158"/>
    <x v="158"/>
    <x v="158"/>
    <n v="2.3558016132476816"/>
    <n v="95.25"/>
    <n v="14.59597233993374"/>
    <n v="-7.0074626865671643"/>
  </r>
  <r>
    <x v="159"/>
    <x v="0"/>
    <n v="3119.9"/>
    <n v="3129.9"/>
    <n v="3066.05"/>
    <n v="3115.25"/>
    <n v="3089"/>
    <n v="3080.4"/>
    <n v="3090.2"/>
    <n v="3350"/>
    <n v="1775.8"/>
    <x v="159"/>
    <x v="159"/>
    <x v="159"/>
    <n v="-1.1186903137789874"/>
    <n v="63.849999999999909"/>
    <n v="12.820659638262889"/>
    <n v="-8.0477611940298477"/>
  </r>
  <r>
    <x v="160"/>
    <x v="0"/>
    <n v="3110"/>
    <n v="3110.5"/>
    <n v="3051.5"/>
    <n v="3080.4"/>
    <n v="3080"/>
    <n v="3081.2"/>
    <n v="3079"/>
    <n v="3350"/>
    <n v="1785.35"/>
    <x v="160"/>
    <x v="160"/>
    <x v="160"/>
    <n v="2.5970653161918163E-2"/>
    <n v="59"/>
    <n v="12.619551681195517"/>
    <n v="-8.0238805970149301"/>
  </r>
  <r>
    <x v="161"/>
    <x v="0"/>
    <n v="3094"/>
    <n v="3108.45"/>
    <n v="3045"/>
    <n v="3081.2"/>
    <n v="3052.5"/>
    <n v="3054.7"/>
    <n v="3074.15"/>
    <n v="3350"/>
    <n v="1785.35"/>
    <x v="161"/>
    <x v="161"/>
    <x v="161"/>
    <n v="-0.86005452421134621"/>
    <n v="63.449999999999818"/>
    <n v="16.00684400055707"/>
    <n v="-8.8149253731343347"/>
  </r>
  <r>
    <x v="162"/>
    <x v="0"/>
    <n v="3071.95"/>
    <n v="3119.85"/>
    <n v="3015.05"/>
    <n v="3054.7"/>
    <n v="3029"/>
    <n v="3039.6"/>
    <n v="3065.29"/>
    <n v="3350"/>
    <n v="1785.35"/>
    <x v="162"/>
    <x v="162"/>
    <x v="162"/>
    <n v="-0.49432022784561203"/>
    <n v="104.79999999999973"/>
    <n v="13.103929847353037"/>
    <n v="-9.2656716417910463"/>
  </r>
  <r>
    <x v="163"/>
    <x v="0"/>
    <n v="3030"/>
    <n v="3045"/>
    <n v="2975.1"/>
    <n v="3039.6"/>
    <n v="2990"/>
    <n v="2993.25"/>
    <n v="3007.11"/>
    <n v="3350"/>
    <n v="1785.35"/>
    <x v="163"/>
    <x v="163"/>
    <x v="163"/>
    <n v="-1.5248716936438975"/>
    <n v="69.900000000000091"/>
    <n v="15.717711369484215"/>
    <n v="-10.649253731343283"/>
  </r>
  <r>
    <x v="164"/>
    <x v="0"/>
    <n v="2993.25"/>
    <n v="3000.2"/>
    <n v="2850"/>
    <n v="2993.25"/>
    <n v="2872"/>
    <n v="2874.65"/>
    <n v="2890.39"/>
    <n v="3350"/>
    <n v="1857.75"/>
    <x v="164"/>
    <x v="164"/>
    <x v="164"/>
    <n v="-3.962248392215816"/>
    <n v="150.19999999999982"/>
    <n v="18.789955276008662"/>
    <n v="-14.189552238805966"/>
  </r>
  <r>
    <x v="165"/>
    <x v="0"/>
    <n v="2889.95"/>
    <n v="2905.35"/>
    <n v="2822"/>
    <n v="2874.65"/>
    <n v="2839"/>
    <n v="2835.95"/>
    <n v="2857.91"/>
    <n v="3350"/>
    <n v="1857.75"/>
    <x v="165"/>
    <x v="165"/>
    <x v="165"/>
    <n v="-1.3462508479293227"/>
    <n v="83.349999999999909"/>
    <n v="17.089433425844447"/>
    <n v="-15.344776119402988"/>
  </r>
  <r>
    <x v="166"/>
    <x v="0"/>
    <n v="2850"/>
    <n v="2890.9"/>
    <n v="2820"/>
    <n v="2835.95"/>
    <n v="2862"/>
    <n v="2860.55"/>
    <n v="2860.65"/>
    <n v="3350"/>
    <n v="1857.75"/>
    <x v="166"/>
    <x v="166"/>
    <x v="166"/>
    <n v="0.86743419312753622"/>
    <n v="70.900000000000091"/>
    <n v="16.625792922673657"/>
    <n v="-14.610447761194024"/>
  </r>
  <r>
    <x v="167"/>
    <x v="0"/>
    <n v="2864.8"/>
    <n v="2883.65"/>
    <n v="2756"/>
    <n v="2860.55"/>
    <n v="2765"/>
    <n v="2766.65"/>
    <n v="2814.22"/>
    <n v="3350"/>
    <n v="1857.75"/>
    <x v="167"/>
    <x v="167"/>
    <x v="167"/>
    <n v="-3.2825855167712534"/>
    <n v="127.65000000000009"/>
    <n v="12.744923084842609"/>
    <n v="-17.413432835820895"/>
  </r>
  <r>
    <x v="168"/>
    <x v="0"/>
    <n v="2794.95"/>
    <n v="2809"/>
    <n v="2760.45"/>
    <n v="2766.65"/>
    <n v="2803.9"/>
    <n v="2797.25"/>
    <n v="2791.48"/>
    <n v="3350"/>
    <n v="1857.75"/>
    <x v="168"/>
    <x v="168"/>
    <x v="168"/>
    <n v="1.1060307592214378"/>
    <n v="48.550000000000182"/>
    <n v="29.435292941161766"/>
    <n v="-16.5"/>
  </r>
  <r>
    <x v="169"/>
    <x v="0"/>
    <n v="2803"/>
    <n v="2890"/>
    <n v="2790.5"/>
    <n v="2797.25"/>
    <n v="2888.85"/>
    <n v="2879.6"/>
    <n v="2839.27"/>
    <n v="3350"/>
    <n v="1857.75"/>
    <x v="169"/>
    <x v="169"/>
    <x v="169"/>
    <n v="2.9439628206273984"/>
    <n v="99.5"/>
    <n v="32.644730258958297"/>
    <n v="-14.041791044776122"/>
  </r>
  <r>
    <x v="170"/>
    <x v="0"/>
    <n v="2894.95"/>
    <n v="3046"/>
    <n v="2874.55"/>
    <n v="2879.6"/>
    <n v="3035"/>
    <n v="3037.55"/>
    <n v="2995.85"/>
    <n v="3350"/>
    <n v="1857.75"/>
    <x v="170"/>
    <x v="170"/>
    <x v="170"/>
    <n v="5.4851368245589764"/>
    <n v="171.44999999999982"/>
    <n v="29.069879726045478"/>
    <n v="-9.3268656716417855"/>
  </r>
  <r>
    <x v="171"/>
    <x v="0"/>
    <n v="3046.75"/>
    <n v="3118.85"/>
    <n v="3037.6"/>
    <n v="3037.55"/>
    <n v="3047"/>
    <n v="3049.75"/>
    <n v="3074.65"/>
    <n v="3350"/>
    <n v="1857.75"/>
    <x v="171"/>
    <x v="171"/>
    <x v="171"/>
    <n v="0.40163947918552179"/>
    <n v="81.25"/>
    <n v="17.969590245044316"/>
    <n v="-8.9626865671641802"/>
  </r>
  <r>
    <x v="172"/>
    <x v="0"/>
    <n v="3065"/>
    <n v="3076.95"/>
    <n v="2974.95"/>
    <n v="3049.75"/>
    <n v="3034.05"/>
    <n v="3041.65"/>
    <n v="3022.05"/>
    <n v="3350"/>
    <n v="1857.75"/>
    <x v="172"/>
    <x v="172"/>
    <x v="172"/>
    <n v="-0.26559554061808044"/>
    <n v="102"/>
    <n v="12.744160208871483"/>
    <n v="-9.2044776119402947"/>
  </r>
  <r>
    <x v="173"/>
    <x v="0"/>
    <n v="3041.05"/>
    <n v="3091"/>
    <n v="3015.5"/>
    <n v="3041.65"/>
    <n v="3057"/>
    <n v="3060.5"/>
    <n v="3053.08"/>
    <n v="3350"/>
    <n v="1857.75"/>
    <x v="173"/>
    <x v="173"/>
    <x v="173"/>
    <n v="0.61972942317491853"/>
    <n v="75.5"/>
    <n v="11.112044478548254"/>
    <n v="-8.6417910447761184"/>
  </r>
  <r>
    <x v="174"/>
    <x v="0"/>
    <n v="3074"/>
    <n v="3074"/>
    <n v="3055"/>
    <n v="3060.5"/>
    <n v="3061"/>
    <n v="3059.75"/>
    <n v="3064.28"/>
    <n v="3350"/>
    <n v="1857.75"/>
    <x v="174"/>
    <x v="174"/>
    <x v="174"/>
    <n v="-2.4505799705930403E-2"/>
    <n v="19"/>
    <n v="14.164634146341463"/>
    <n v="-8.6641791044776131"/>
  </r>
  <r>
    <x v="175"/>
    <x v="0"/>
    <n v="3067.9"/>
    <n v="3175"/>
    <n v="3034.5"/>
    <n v="3059.75"/>
    <n v="3110"/>
    <n v="3117.5"/>
    <n v="3123.72"/>
    <n v="3350"/>
    <n v="1983.4"/>
    <x v="175"/>
    <x v="175"/>
    <x v="175"/>
    <n v="1.8874091020508212"/>
    <n v="140.5"/>
    <n v="22.755374820593971"/>
    <n v="-6.9402985074626864"/>
  </r>
  <r>
    <x v="176"/>
    <x v="0"/>
    <n v="3129.95"/>
    <n v="3145"/>
    <n v="3073.5"/>
    <n v="3117.5"/>
    <n v="3137"/>
    <n v="3140.95"/>
    <n v="3121.08"/>
    <n v="3350"/>
    <n v="1983.4"/>
    <x v="176"/>
    <x v="176"/>
    <x v="176"/>
    <n v="0.75220529270248015"/>
    <n v="71.5"/>
    <n v="35.394857310850256"/>
    <n v="-6.2402985074626915"/>
  </r>
  <r>
    <x v="177"/>
    <x v="0"/>
    <n v="3156.7"/>
    <n v="3406"/>
    <n v="3135.55"/>
    <n v="3140.95"/>
    <n v="3398.2"/>
    <n v="3387.3"/>
    <n v="3302.83"/>
    <n v="3406"/>
    <n v="1983.4"/>
    <x v="177"/>
    <x v="177"/>
    <x v="177"/>
    <n v="7.8431684681386322"/>
    <n v="270.44999999999982"/>
    <n v="21.341779429078176"/>
    <n v="-0.54903112155020017"/>
  </r>
  <r>
    <x v="178"/>
    <x v="0"/>
    <n v="3406"/>
    <n v="3457.85"/>
    <n v="3355.6"/>
    <n v="3387.3"/>
    <n v="3381"/>
    <n v="3384.95"/>
    <n v="3409.34"/>
    <n v="3457.85"/>
    <n v="1983.4"/>
    <x v="178"/>
    <x v="178"/>
    <x v="178"/>
    <n v="-6.9376789773576697E-2"/>
    <n v="102.25"/>
    <n v="19.362482023611776"/>
    <n v="-2.1082464537212458"/>
  </r>
  <r>
    <x v="179"/>
    <x v="0"/>
    <n v="3358"/>
    <n v="3358"/>
    <n v="3267.05"/>
    <n v="3384.95"/>
    <n v="3295.05"/>
    <n v="3289.05"/>
    <n v="3307.4"/>
    <n v="3457.85"/>
    <n v="2142"/>
    <x v="179"/>
    <x v="179"/>
    <x v="179"/>
    <n v="-2.8331289974741027"/>
    <n v="90.949999999999818"/>
    <n v="18.44355489533713"/>
    <n v="-4.881646109576752"/>
  </r>
  <r>
    <x v="180"/>
    <x v="0"/>
    <n v="3309.65"/>
    <n v="3329.5"/>
    <n v="3229.05"/>
    <n v="3289.05"/>
    <n v="3239"/>
    <n v="3244.05"/>
    <n v="3282.72"/>
    <n v="3457.85"/>
    <n v="2142"/>
    <x v="180"/>
    <x v="180"/>
    <x v="180"/>
    <n v="-1.3681762210972772"/>
    <n v="100.44999999999982"/>
    <n v="16.974159232734429"/>
    <n v="-6.18303280940468"/>
  </r>
  <r>
    <x v="181"/>
    <x v="0"/>
    <n v="3250"/>
    <n v="3322.9"/>
    <n v="3212"/>
    <n v="3244.05"/>
    <n v="3255"/>
    <n v="3258.8"/>
    <n v="3270.3"/>
    <n v="3457.85"/>
    <n v="2142"/>
    <x v="181"/>
    <x v="181"/>
    <x v="181"/>
    <n v="0.45467856537352996"/>
    <n v="110.90000000000009"/>
    <n v="19.435754246770419"/>
    <n v="-5.7564671689055258"/>
  </r>
  <r>
    <x v="182"/>
    <x v="0"/>
    <n v="3254"/>
    <n v="3274.3"/>
    <n v="3174.5"/>
    <n v="3258.8"/>
    <n v="3209.9"/>
    <n v="3194.25"/>
    <n v="3219.99"/>
    <n v="3457.85"/>
    <n v="2142"/>
    <x v="182"/>
    <x v="182"/>
    <x v="182"/>
    <n v="-1.9807904750214858"/>
    <n v="99.800000000000182"/>
    <n v="17.680522364855861"/>
    <n v="-7.6232340905475926"/>
  </r>
  <r>
    <x v="183"/>
    <x v="0"/>
    <n v="3225.25"/>
    <n v="3434.45"/>
    <n v="3225.25"/>
    <n v="3194.25"/>
    <n v="3416"/>
    <n v="3411.35"/>
    <n v="3359.45"/>
    <n v="3457.85"/>
    <n v="2142"/>
    <x v="183"/>
    <x v="183"/>
    <x v="183"/>
    <n v="6.7965876183767673"/>
    <n v="209.19999999999982"/>
    <n v="22.015748221557857"/>
    <n v="-1.3447662564888587"/>
  </r>
  <r>
    <x v="184"/>
    <x v="0"/>
    <n v="3725"/>
    <n v="3743.9"/>
    <n v="3586.05"/>
    <n v="3411.35"/>
    <n v="3660.1"/>
    <n v="3645.25"/>
    <n v="3659.12"/>
    <n v="3743.9"/>
    <n v="2142"/>
    <x v="184"/>
    <x v="184"/>
    <x v="184"/>
    <n v="6.8565230773740629"/>
    <n v="157.84999999999991"/>
    <n v="20.519830660073726"/>
    <n v="-2.6349528566468146"/>
  </r>
  <r>
    <x v="185"/>
    <x v="0"/>
    <n v="3520"/>
    <n v="3520"/>
    <n v="2733.95"/>
    <n v="3645.25"/>
    <n v="2950"/>
    <n v="2941.25"/>
    <n v="3136.46"/>
    <n v="3743.9"/>
    <n v="2142"/>
    <x v="185"/>
    <x v="185"/>
    <x v="185"/>
    <n v="-19.31280433440779"/>
    <n v="786.05000000000018"/>
    <n v="23.939289162492472"/>
    <n v="-21.438873901546518"/>
  </r>
  <r>
    <x v="186"/>
    <x v="0"/>
    <n v="3030"/>
    <n v="3150"/>
    <n v="2750"/>
    <n v="2941.25"/>
    <n v="3093"/>
    <n v="3115.35"/>
    <n v="2958.33"/>
    <n v="3743.9"/>
    <n v="2142"/>
    <x v="186"/>
    <x v="186"/>
    <x v="186"/>
    <n v="5.9192520186995292"/>
    <n v="400"/>
    <n v="14.321283024285513"/>
    <n v="-16.788642859050725"/>
  </r>
  <r>
    <x v="187"/>
    <x v="0"/>
    <n v="3184"/>
    <n v="3222.4"/>
    <n v="3137.15"/>
    <n v="3115.35"/>
    <n v="3181.6"/>
    <n v="3185.65"/>
    <n v="3186.26"/>
    <n v="3743.9"/>
    <n v="2142"/>
    <x v="187"/>
    <x v="187"/>
    <x v="187"/>
    <n v="2.25656828285747"/>
    <n v="85.25"/>
    <n v="21.081374730796842"/>
    <n v="-14.910921766072812"/>
  </r>
  <r>
    <x v="188"/>
    <x v="0"/>
    <n v="3170.4"/>
    <n v="3233.75"/>
    <n v="3151.6"/>
    <n v="3185.65"/>
    <n v="3222.5"/>
    <n v="3219.55"/>
    <n v="3207.35"/>
    <n v="3743.9"/>
    <n v="2142"/>
    <x v="188"/>
    <x v="188"/>
    <x v="188"/>
    <n v="1.0641470343571984"/>
    <n v="82.150000000000091"/>
    <n v="32.367554982008372"/>
    <n v="-14.005448863484599"/>
  </r>
  <r>
    <x v="189"/>
    <x v="0"/>
    <n v="3267"/>
    <n v="3284.4"/>
    <n v="3205.5"/>
    <n v="3219.55"/>
    <n v="3212.3"/>
    <n v="3220.1"/>
    <n v="3247.8"/>
    <n v="3743.9"/>
    <n v="2142"/>
    <x v="189"/>
    <x v="189"/>
    <x v="189"/>
    <n v="1.7083132735932881E-2"/>
    <n v="78.900000000000091"/>
    <n v="32.352079810175532"/>
    <n v="-13.990758300168279"/>
  </r>
  <r>
    <x v="190"/>
    <x v="0"/>
    <n v="3224"/>
    <n v="3265"/>
    <n v="3195.05"/>
    <n v="3220.1"/>
    <n v="3215"/>
    <n v="3221.25"/>
    <n v="3235.16"/>
    <n v="3743.9"/>
    <n v="2142"/>
    <x v="190"/>
    <x v="190"/>
    <x v="190"/>
    <n v="3.5713176609424892E-2"/>
    <n v="69.949999999999818"/>
    <n v="34.436402640264028"/>
    <n v="-13.96004166777959"/>
  </r>
  <r>
    <x v="191"/>
    <x v="0"/>
    <n v="3224.9"/>
    <n v="3245"/>
    <n v="3208"/>
    <n v="3221.25"/>
    <n v="3209"/>
    <n v="3219.05"/>
    <n v="3226.61"/>
    <n v="3743.9"/>
    <n v="2142"/>
    <x v="191"/>
    <x v="191"/>
    <x v="191"/>
    <n v="-6.8296468762120852E-2"/>
    <n v="37"/>
    <n v="40.664043160047356"/>
    <n v="-14.018803921044897"/>
  </r>
  <r>
    <x v="192"/>
    <x v="0"/>
    <n v="3230"/>
    <n v="3254"/>
    <n v="3207.25"/>
    <n v="3219.05"/>
    <n v="3222.25"/>
    <n v="3224.8"/>
    <n v="3221.11"/>
    <n v="3743.9"/>
    <n v="2142"/>
    <x v="192"/>
    <x v="192"/>
    <x v="192"/>
    <n v="0.17862412823659155"/>
    <n v="46.75"/>
    <n v="33.335532820582202"/>
    <n v="-13.865220759101469"/>
  </r>
  <r>
    <x v="193"/>
    <x v="0"/>
    <n v="3225"/>
    <n v="3275"/>
    <n v="3221.1"/>
    <n v="3224.8"/>
    <n v="3269"/>
    <n v="3261.75"/>
    <n v="3252.79"/>
    <n v="3743.9"/>
    <n v="2142"/>
    <x v="193"/>
    <x v="193"/>
    <x v="193"/>
    <n v="1.1458074919374788"/>
    <n v="53.900000000000091"/>
    <n v="43.070771018747898"/>
    <n v="-12.878282005395445"/>
  </r>
  <r>
    <x v="194"/>
    <x v="0"/>
    <n v="3310"/>
    <n v="3345"/>
    <n v="3287.2"/>
    <n v="3261.75"/>
    <n v="3310.95"/>
    <n v="3309.05"/>
    <n v="3311.54"/>
    <n v="3743.9"/>
    <n v="2142"/>
    <x v="194"/>
    <x v="194"/>
    <x v="194"/>
    <n v="1.4501417950486757"/>
    <n v="57.800000000000182"/>
    <n v="16.343589122967074"/>
    <n v="-11.614893560191241"/>
  </r>
  <r>
    <x v="195"/>
    <x v="0"/>
    <n v="3314"/>
    <n v="3314"/>
    <n v="3226.3"/>
    <n v="3309.05"/>
    <n v="3264.25"/>
    <n v="3261.9"/>
    <n v="3259.86"/>
    <n v="3743.9"/>
    <n v="2142"/>
    <x v="195"/>
    <x v="195"/>
    <x v="195"/>
    <n v="-1.4248802526404887"/>
    <n v="87.699999999999818"/>
    <n v="16.708231305330571"/>
    <n v="-12.874275488127354"/>
  </r>
  <r>
    <x v="196"/>
    <x v="0"/>
    <n v="3263.9"/>
    <n v="3315"/>
    <n v="3240"/>
    <n v="3261.9"/>
    <n v="3261.95"/>
    <n v="3259.45"/>
    <n v="3279.03"/>
    <n v="3743.9"/>
    <n v="2142"/>
    <x v="196"/>
    <x v="196"/>
    <x v="196"/>
    <n v="-7.510959870015245E-2"/>
    <n v="75"/>
    <n v="14.007082748229314"/>
    <n v="-12.939715270172822"/>
  </r>
  <r>
    <x v="197"/>
    <x v="0"/>
    <n v="3265.05"/>
    <n v="3277.1"/>
    <n v="3176.4"/>
    <n v="3259.45"/>
    <n v="3192.8"/>
    <n v="3189.3"/>
    <n v="3205.27"/>
    <n v="3743.9"/>
    <n v="2142"/>
    <x v="197"/>
    <x v="197"/>
    <x v="197"/>
    <n v="-2.1522035926306473"/>
    <n v="100.69999999999982"/>
    <n v="29.275809849060838"/>
    <n v="-14.813429845882634"/>
  </r>
  <r>
    <x v="198"/>
    <x v="0"/>
    <n v="3185.75"/>
    <n v="3214.8"/>
    <n v="3135"/>
    <n v="3189.3"/>
    <n v="3193.95"/>
    <n v="3194.6"/>
    <n v="3191.57"/>
    <n v="3743.9"/>
    <n v="2142"/>
    <x v="198"/>
    <x v="198"/>
    <x v="198"/>
    <n v="0.16618066660394842"/>
    <n v="79.800000000000182"/>
    <n v="30.255062381151152"/>
    <n v="-14.671866235743479"/>
  </r>
  <r>
    <x v="199"/>
    <x v="0"/>
    <n v="3204.75"/>
    <n v="3208.45"/>
    <n v="3156.35"/>
    <n v="3194.6"/>
    <n v="3169.05"/>
    <n v="3171.1"/>
    <n v="3175.93"/>
    <n v="3743.9"/>
    <n v="2142"/>
    <x v="199"/>
    <x v="199"/>
    <x v="199"/>
    <n v="-0.73561635259500413"/>
    <n v="52.099999999999909"/>
    <n v="28.939081441010757"/>
    <n v="-15.299553941077489"/>
  </r>
  <r>
    <x v="200"/>
    <x v="0"/>
    <n v="3169.05"/>
    <n v="3187.7"/>
    <n v="3163.9"/>
    <n v="3171.1"/>
    <n v="3169"/>
    <n v="3170.5"/>
    <n v="3174.21"/>
    <n v="3743.9"/>
    <n v="2142"/>
    <x v="200"/>
    <x v="200"/>
    <x v="200"/>
    <n v="-1.8920879190183502E-2"/>
    <n v="23.799999999999727"/>
    <n v="36.371318974150078"/>
    <n v="-15.315580010149846"/>
  </r>
  <r>
    <x v="201"/>
    <x v="0"/>
    <n v="3177"/>
    <n v="3202.25"/>
    <n v="3150"/>
    <n v="3170.5"/>
    <n v="3175"/>
    <n v="3175.15"/>
    <n v="3170.85"/>
    <n v="3743.9"/>
    <n v="2142"/>
    <x v="201"/>
    <x v="201"/>
    <x v="201"/>
    <n v="0.14666456394890681"/>
    <n v="52.25"/>
    <n v="33.402642182183882"/>
    <n v="-15.191377974839071"/>
  </r>
  <r>
    <x v="202"/>
    <x v="0"/>
    <n v="3190"/>
    <n v="3211.95"/>
    <n v="3157"/>
    <n v="3175.15"/>
    <n v="3174"/>
    <n v="3177.15"/>
    <n v="3184.74"/>
    <n v="3743.9"/>
    <n v="2142"/>
    <x v="202"/>
    <x v="202"/>
    <x v="202"/>
    <n v="6.2989150118892015E-2"/>
    <n v="54.949999999999818"/>
    <n v="18.580060715045342"/>
    <n v="-15.13795774459788"/>
  </r>
  <r>
    <x v="203"/>
    <x v="0"/>
    <n v="3179.95"/>
    <n v="3193.15"/>
    <n v="3157.55"/>
    <n v="3177.15"/>
    <n v="3180"/>
    <n v="3183.8"/>
    <n v="3175.58"/>
    <n v="3743.9"/>
    <n v="2142"/>
    <x v="203"/>
    <x v="203"/>
    <x v="203"/>
    <n v="0.20930708339235135"/>
    <n v="35.599999999999909"/>
    <n v="15.13999818066042"/>
    <n v="-14.960335479045911"/>
  </r>
  <r>
    <x v="204"/>
    <x v="0"/>
    <n v="3179.85"/>
    <n v="3207.8"/>
    <n v="3131.05"/>
    <n v="3183.8"/>
    <n v="3150"/>
    <n v="3153.2"/>
    <n v="3169.46"/>
    <n v="3743.9"/>
    <n v="2142"/>
    <x v="204"/>
    <x v="204"/>
    <x v="204"/>
    <n v="-0.96111564796784854"/>
    <n v="76.75"/>
    <n v="15.876932907348243"/>
    <n v="-15.777665001736164"/>
  </r>
  <r>
    <x v="205"/>
    <x v="0"/>
    <n v="3158"/>
    <n v="3194.55"/>
    <n v="3147.75"/>
    <n v="3153.2"/>
    <n v="3185"/>
    <n v="3190.95"/>
    <n v="3170.61"/>
    <n v="3743.9"/>
    <n v="2142"/>
    <x v="205"/>
    <x v="205"/>
    <x v="205"/>
    <n v="1.1971964987948751"/>
    <n v="46.800000000000182"/>
    <n v="20.421752073144802"/>
    <n v="-14.769358155933659"/>
  </r>
  <r>
    <x v="206"/>
    <x v="0"/>
    <n v="3192"/>
    <n v="3194.45"/>
    <n v="3138.05"/>
    <n v="3190.95"/>
    <n v="3143.9"/>
    <n v="3144.25"/>
    <n v="3156.24"/>
    <n v="3743.9"/>
    <n v="2142"/>
    <x v="206"/>
    <x v="206"/>
    <x v="206"/>
    <n v="-1.4635140005327512"/>
    <n v="56.399999999999636"/>
    <n v="14.571185972663262"/>
    <n v="-16.016720532065495"/>
  </r>
  <r>
    <x v="207"/>
    <x v="0"/>
    <n v="3143.9"/>
    <n v="3158.55"/>
    <n v="3123.95"/>
    <n v="3144.25"/>
    <n v="3146.15"/>
    <n v="3147.9"/>
    <n v="3143.96"/>
    <n v="3743.9"/>
    <n v="2142"/>
    <x v="207"/>
    <x v="207"/>
    <x v="207"/>
    <n v="0.11608491691182607"/>
    <n v="34.600000000000364"/>
    <n v="15.678953458169024"/>
    <n v="-15.919228611875317"/>
  </r>
  <r>
    <x v="208"/>
    <x v="0"/>
    <n v="3147.9"/>
    <n v="3158.2"/>
    <n v="3075"/>
    <n v="3147.9"/>
    <n v="3112"/>
    <n v="3113.6"/>
    <n v="3104.41"/>
    <n v="3743.9"/>
    <n v="2142"/>
    <x v="208"/>
    <x v="208"/>
    <x v="208"/>
    <n v="-1.0896152990882868"/>
    <n v="83.199999999999818"/>
    <n v="13.735145483299444"/>
    <n v="-16.835385560511771"/>
  </r>
  <r>
    <x v="209"/>
    <x v="0"/>
    <n v="3115.95"/>
    <n v="3158"/>
    <n v="3100.5"/>
    <n v="3113.6"/>
    <n v="3112"/>
    <n v="3110.75"/>
    <n v="3125.4"/>
    <n v="3743.9"/>
    <n v="2142"/>
    <x v="209"/>
    <x v="209"/>
    <x v="209"/>
    <n v="-9.153391572456028E-2"/>
    <n v="57.5"/>
    <n v="16.089359846502703"/>
    <n v="-16.911509388605467"/>
  </r>
  <r>
    <x v="210"/>
    <x v="0"/>
    <n v="3120.1"/>
    <n v="3127.25"/>
    <n v="3063.4"/>
    <n v="3110.75"/>
    <n v="3093.9"/>
    <n v="3096"/>
    <n v="3097.88"/>
    <n v="3743.9"/>
    <n v="2142"/>
    <x v="210"/>
    <x v="210"/>
    <x v="210"/>
    <n v="-0.47416217953869644"/>
    <n v="63.849999999999909"/>
    <n v="13.261980108499095"/>
    <n v="-17.30548358663426"/>
  </r>
  <r>
    <x v="211"/>
    <x v="0"/>
    <n v="3118.7"/>
    <n v="3129.8"/>
    <n v="3074.1"/>
    <n v="3096"/>
    <n v="3087"/>
    <n v="3078.3"/>
    <n v="3097.76"/>
    <n v="3743.9"/>
    <n v="2142"/>
    <x v="211"/>
    <x v="211"/>
    <x v="211"/>
    <n v="-0.57170542635658328"/>
    <n v="55.700000000000273"/>
    <n v="10.544473351146111"/>
    <n v="-17.778252624268809"/>
  </r>
  <r>
    <x v="212"/>
    <x v="0"/>
    <n v="3090"/>
    <n v="3098.8"/>
    <n v="3058.35"/>
    <n v="3078.3"/>
    <n v="3066"/>
    <n v="3065.45"/>
    <n v="3075.05"/>
    <n v="3743.9"/>
    <n v="2142"/>
    <x v="212"/>
    <x v="212"/>
    <x v="212"/>
    <n v="-0.41743819640711954"/>
    <n v="40.450000000000273"/>
    <n v="14.596980345213732"/>
    <n v="-18.121477603568479"/>
  </r>
  <r>
    <x v="213"/>
    <x v="0"/>
    <n v="3066.1"/>
    <n v="3103.5"/>
    <n v="3058.35"/>
    <n v="3065.45"/>
    <n v="3091"/>
    <n v="3090.4"/>
    <n v="3081.16"/>
    <n v="3743.9"/>
    <n v="2142"/>
    <x v="213"/>
    <x v="213"/>
    <x v="213"/>
    <n v="0.81390986641440166"/>
    <n v="45.150000000000091"/>
    <n v="16.170373347624153"/>
    <n v="-17.455060231309595"/>
  </r>
  <r>
    <x v="214"/>
    <x v="0"/>
    <n v="3110"/>
    <n v="3137.75"/>
    <n v="3096.1"/>
    <n v="3090.4"/>
    <n v="3106.5"/>
    <n v="3109.3"/>
    <n v="3115.88"/>
    <n v="3743.9"/>
    <n v="2142"/>
    <x v="214"/>
    <x v="214"/>
    <x v="214"/>
    <n v="0.61157131762878891"/>
    <n v="41.650000000000091"/>
    <n v="16.452325465259513"/>
    <n v="-16.950239055530329"/>
  </r>
  <r>
    <x v="215"/>
    <x v="0"/>
    <n v="3106"/>
    <n v="3111"/>
    <n v="3057.15"/>
    <n v="3109.3"/>
    <n v="3090"/>
    <n v="3092.2"/>
    <n v="3083.68"/>
    <n v="3743.9"/>
    <n v="2142"/>
    <x v="215"/>
    <x v="215"/>
    <x v="215"/>
    <n v="-0.54996301418326843"/>
    <n v="53.849999999999909"/>
    <n v="12.648603476452235"/>
    <n v="-17.406982024092528"/>
  </r>
  <r>
    <x v="216"/>
    <x v="0"/>
    <n v="3092"/>
    <n v="3094.5"/>
    <n v="3000"/>
    <n v="3092.2"/>
    <n v="3007.95"/>
    <n v="3005.7"/>
    <n v="3033.24"/>
    <n v="3743.9"/>
    <n v="2142"/>
    <x v="216"/>
    <x v="216"/>
    <x v="216"/>
    <n v="-2.797361102127935"/>
    <n v="94.5"/>
    <n v="14.890540266218137"/>
    <n v="-19.717406982024098"/>
  </r>
  <r>
    <x v="217"/>
    <x v="0"/>
    <n v="3005.7"/>
    <n v="3026.9"/>
    <n v="2972.15"/>
    <n v="3005.7"/>
    <n v="3000"/>
    <n v="3000.85"/>
    <n v="3002.66"/>
    <n v="3743.9"/>
    <n v="2142"/>
    <x v="217"/>
    <x v="217"/>
    <x v="217"/>
    <n v="-0.16136008250989484"/>
    <n v="54.75"/>
    <n v="13.065318204242724"/>
    <n v="-19.846951040358988"/>
  </r>
  <r>
    <x v="218"/>
    <x v="0"/>
    <n v="3020"/>
    <n v="3038"/>
    <n v="2886.35"/>
    <n v="3000.85"/>
    <n v="2999.4"/>
    <n v="2995.35"/>
    <n v="2989.95"/>
    <n v="3743.9"/>
    <n v="2142"/>
    <x v="218"/>
    <x v="218"/>
    <x v="218"/>
    <n v="-0.18328140360231268"/>
    <n v="151.65000000000009"/>
    <n v="13.946439787034622"/>
    <n v="-19.993856673522266"/>
  </r>
  <r>
    <x v="219"/>
    <x v="0"/>
    <n v="2995.35"/>
    <n v="3007.5"/>
    <n v="2959.3"/>
    <n v="2995.35"/>
    <n v="2968.8"/>
    <n v="2970.7"/>
    <n v="2980.98"/>
    <n v="3743.9"/>
    <n v="2142"/>
    <x v="219"/>
    <x v="219"/>
    <x v="219"/>
    <n v="-0.82294222711870368"/>
    <n v="48.199999999999818"/>
    <n v="12.802473009135369"/>
    <n v="-20.652261011244967"/>
  </r>
  <r>
    <x v="220"/>
    <x v="0"/>
    <n v="2960.7"/>
    <n v="3017.65"/>
    <n v="2945.1"/>
    <n v="2970.7"/>
    <n v="2995"/>
    <n v="2973.5"/>
    <n v="2980.02"/>
    <n v="3743.9"/>
    <n v="2142"/>
    <x v="220"/>
    <x v="220"/>
    <x v="220"/>
    <n v="9.4253879557012893E-2"/>
    <n v="72.550000000000182"/>
    <n v="14.663762349976793"/>
    <n v="-20.577472688907292"/>
  </r>
  <r>
    <x v="221"/>
    <x v="0"/>
    <n v="2995"/>
    <n v="3109"/>
    <n v="2988.1"/>
    <n v="2973.5"/>
    <n v="3072.25"/>
    <n v="3080.5"/>
    <n v="3066.52"/>
    <n v="3743.9"/>
    <n v="2142"/>
    <x v="221"/>
    <x v="221"/>
    <x v="221"/>
    <n v="3.5984530015133678"/>
    <n v="120.90000000000009"/>
    <n v="17.37288029479107"/>
    <n v="-17.719490371003502"/>
  </r>
  <r>
    <x v="222"/>
    <x v="0"/>
    <n v="3094.3"/>
    <n v="3120.35"/>
    <n v="3074"/>
    <n v="3080.5"/>
    <n v="3088.4"/>
    <n v="3089.35"/>
    <n v="3097.85"/>
    <n v="3743.9"/>
    <n v="2142"/>
    <x v="222"/>
    <x v="222"/>
    <x v="222"/>
    <n v="0.28729102418438268"/>
    <n v="46.349999999999909"/>
    <n v="15.072553463505347"/>
    <n v="-17.483105852186227"/>
  </r>
  <r>
    <x v="223"/>
    <x v="0"/>
    <n v="3092"/>
    <n v="3155"/>
    <n v="3066.65"/>
    <n v="3089.35"/>
    <n v="3133"/>
    <n v="3128.75"/>
    <n v="3120.89"/>
    <n v="3743.9"/>
    <n v="2142"/>
    <x v="223"/>
    <x v="223"/>
    <x v="223"/>
    <n v="1.2753491834852022"/>
    <n v="88.349999999999909"/>
    <n v="16.76691913022233"/>
    <n v="-16.430727316434734"/>
  </r>
  <r>
    <x v="224"/>
    <x v="0"/>
    <n v="3141"/>
    <n v="3197.5"/>
    <n v="3135"/>
    <n v="3128.75"/>
    <n v="3168"/>
    <n v="3169.4"/>
    <n v="3171.25"/>
    <n v="3743.9"/>
    <n v="2142"/>
    <x v="224"/>
    <x v="224"/>
    <x v="224"/>
    <n v="1.2992409109069145"/>
    <n v="62.5"/>
    <n v="21.306686790587655"/>
    <n v="-15.344961136782498"/>
  </r>
  <r>
    <x v="225"/>
    <x v="0"/>
    <n v="3180"/>
    <n v="3258"/>
    <n v="3151.7"/>
    <n v="3169.4"/>
    <n v="3225.1"/>
    <n v="3217.25"/>
    <n v="3212.46"/>
    <n v="3743.9"/>
    <n v="2142"/>
    <x v="225"/>
    <x v="225"/>
    <x v="225"/>
    <n v="1.5097494793967283"/>
    <n v="106.30000000000018"/>
    <n v="26.187544711292794"/>
    <n v="-14.066882128261977"/>
  </r>
  <r>
    <x v="226"/>
    <x v="0"/>
    <n v="3200"/>
    <n v="3215"/>
    <n v="3111"/>
    <n v="3217.25"/>
    <n v="3161.4"/>
    <n v="3160.9"/>
    <n v="3174.06"/>
    <n v="3743.9"/>
    <n v="2142"/>
    <x v="226"/>
    <x v="226"/>
    <x v="226"/>
    <n v="-1.7514958427228193"/>
    <n v="104"/>
    <n v="22.412450142070089"/>
    <n v="-15.571997115307568"/>
  </r>
  <r>
    <x v="227"/>
    <x v="0"/>
    <n v="3085"/>
    <n v="3133.05"/>
    <n v="2996.3"/>
    <n v="3160.9"/>
    <n v="3024"/>
    <n v="3038.2"/>
    <n v="3062.45"/>
    <n v="3743.9"/>
    <n v="2142"/>
    <x v="227"/>
    <x v="227"/>
    <x v="227"/>
    <n v="-3.8818058147995909"/>
    <n v="136.75"/>
    <n v="16.012995372588847"/>
    <n v="-18.849328240604724"/>
  </r>
  <r>
    <x v="228"/>
    <x v="0"/>
    <n v="3084"/>
    <n v="3142.8"/>
    <n v="3057.25"/>
    <n v="3038.2"/>
    <n v="3078.25"/>
    <n v="3072.7"/>
    <n v="3108"/>
    <n v="3743.9"/>
    <n v="2142"/>
    <x v="228"/>
    <x v="228"/>
    <x v="228"/>
    <n v="1.1355407807254296"/>
    <n v="85.550000000000182"/>
    <n v="17.112634774416414"/>
    <n v="-17.927829268944155"/>
  </r>
  <r>
    <x v="229"/>
    <x v="0"/>
    <n v="3118"/>
    <n v="3190"/>
    <n v="3112"/>
    <n v="3072.7"/>
    <n v="3186.45"/>
    <n v="3185.95"/>
    <n v="3163.01"/>
    <n v="3743.9"/>
    <n v="2142"/>
    <x v="229"/>
    <x v="229"/>
    <x v="229"/>
    <n v="3.6856836007420188"/>
    <n v="78"/>
    <n v="24.999919707736158"/>
    <n v="-14.902908731536641"/>
  </r>
  <r>
    <x v="230"/>
    <x v="0"/>
    <n v="3190.55"/>
    <n v="3242.65"/>
    <n v="3156.55"/>
    <n v="3185.95"/>
    <n v="3172.55"/>
    <n v="3167.55"/>
    <n v="3194.74"/>
    <n v="3743.9"/>
    <n v="2142"/>
    <x v="230"/>
    <x v="230"/>
    <x v="230"/>
    <n v="-0.57753574287103182"/>
    <n v="86.099999999999909"/>
    <n v="19.943098980181592"/>
    <n v="-15.394374849755598"/>
  </r>
  <r>
    <x v="231"/>
    <x v="0"/>
    <n v="3209"/>
    <n v="3219.3"/>
    <n v="3171.05"/>
    <n v="3167.55"/>
    <n v="3186.5"/>
    <n v="3187.55"/>
    <n v="3193.28"/>
    <n v="3743.9"/>
    <n v="2142"/>
    <x v="231"/>
    <x v="231"/>
    <x v="231"/>
    <n v="0.63140281921358776"/>
    <n v="48.25"/>
    <n v="17.532289312237648"/>
    <n v="-14.860172547343675"/>
  </r>
  <r>
    <x v="232"/>
    <x v="0"/>
    <n v="3100"/>
    <n v="3169.85"/>
    <n v="3014"/>
    <n v="3187.55"/>
    <n v="3140.9"/>
    <n v="3151.75"/>
    <n v="3101.13"/>
    <n v="3743.9"/>
    <n v="2142"/>
    <x v="232"/>
    <x v="232"/>
    <x v="232"/>
    <n v="-1.1231196373390278"/>
    <n v="155.84999999999991"/>
    <n v="27.990259175981144"/>
    <n v="-15.816394668661024"/>
  </r>
  <r>
    <x v="233"/>
    <x v="0"/>
    <n v="3170.05"/>
    <n v="3178.1"/>
    <n v="3081.75"/>
    <n v="3151.75"/>
    <n v="3085.7"/>
    <n v="3092.2"/>
    <n v="3120.8"/>
    <n v="3743.9"/>
    <n v="2142"/>
    <x v="233"/>
    <x v="233"/>
    <x v="233"/>
    <n v="-1.8894265090822617"/>
    <n v="96.349999999999909"/>
    <n v="24.591886405186241"/>
    <n v="-17.406982024092528"/>
  </r>
  <r>
    <x v="234"/>
    <x v="0"/>
    <n v="3085.7"/>
    <n v="3085.7"/>
    <n v="3027.75"/>
    <n v="3092.2"/>
    <n v="3036.25"/>
    <n v="3040.1"/>
    <n v="3051.52"/>
    <n v="3743.9"/>
    <n v="2142"/>
    <x v="234"/>
    <x v="234"/>
    <x v="234"/>
    <n v="-1.6848845482180943"/>
    <n v="57.949999999999818"/>
    <n v="17.59340737779808"/>
    <n v="-18.798579021875589"/>
  </r>
  <r>
    <x v="235"/>
    <x v="0"/>
    <n v="3070"/>
    <n v="3121.6"/>
    <n v="3039.35"/>
    <n v="3040.1"/>
    <n v="3109"/>
    <n v="3108.8"/>
    <n v="3079.35"/>
    <n v="3743.9"/>
    <n v="2142"/>
    <x v="235"/>
    <x v="235"/>
    <x v="235"/>
    <n v="2.2597940857208734"/>
    <n v="82.25"/>
    <n v="17.662630639816467"/>
    <n v="-16.963594113090625"/>
  </r>
  <r>
    <x v="236"/>
    <x v="0"/>
    <n v="3122.05"/>
    <n v="3134.3"/>
    <n v="3092.95"/>
    <n v="3108.8"/>
    <n v="3107"/>
    <n v="3102.55"/>
    <n v="3113.97"/>
    <n v="3743.9"/>
    <n v="2142"/>
    <x v="236"/>
    <x v="236"/>
    <x v="236"/>
    <n v="-0.20104220277920742"/>
    <n v="41.350000000000364"/>
    <n v="15.780732308215105"/>
    <n v="-17.130532332594349"/>
  </r>
  <r>
    <x v="237"/>
    <x v="0"/>
    <n v="3118.95"/>
    <n v="3126"/>
    <n v="3058.85"/>
    <n v="3102.55"/>
    <n v="3071"/>
    <n v="3070.65"/>
    <n v="3084.66"/>
    <n v="3743.9"/>
    <n v="2142"/>
    <x v="237"/>
    <x v="237"/>
    <x v="237"/>
    <n v="-1.0281864917567836"/>
    <n v="67.150000000000091"/>
    <n v="15.540607767218116"/>
    <n v="-17.98258500494137"/>
  </r>
  <r>
    <x v="238"/>
    <x v="0"/>
    <n v="3070.65"/>
    <n v="3153.3"/>
    <n v="3068.4"/>
    <n v="3070.65"/>
    <n v="3117"/>
    <n v="3115.7"/>
    <n v="3110.53"/>
    <n v="3743.9"/>
    <n v="2142"/>
    <x v="238"/>
    <x v="238"/>
    <x v="238"/>
    <n v="1.4671160829140322"/>
    <n v="84.900000000000091"/>
    <n v="24.457211760116323"/>
    <n v="-16.77929431875852"/>
  </r>
  <r>
    <x v="239"/>
    <x v="0"/>
    <n v="3130.75"/>
    <n v="3150"/>
    <n v="3091"/>
    <n v="3115.7"/>
    <n v="3099.55"/>
    <n v="3099.05"/>
    <n v="3122.8"/>
    <n v="3743.9"/>
    <n v="2142"/>
    <x v="239"/>
    <x v="239"/>
    <x v="239"/>
    <n v="-0.53439034566869847"/>
    <n v="59"/>
    <n v="25.973591516133286"/>
    <n v="-17.224017735516437"/>
  </r>
  <r>
    <x v="240"/>
    <x v="0"/>
    <n v="3101"/>
    <n v="3123"/>
    <n v="3067.6"/>
    <n v="3099.05"/>
    <n v="3079.45"/>
    <n v="3076.35"/>
    <n v="3088.57"/>
    <n v="3743.9"/>
    <n v="2142"/>
    <x v="240"/>
    <x v="240"/>
    <x v="240"/>
    <n v="-0.73248253497040283"/>
    <n v="55.400000000000091"/>
    <n v="22.260019423761737"/>
    <n v="-17.830337348753979"/>
  </r>
  <r>
    <x v="241"/>
    <x v="0"/>
    <n v="3088"/>
    <n v="3090"/>
    <n v="3055"/>
    <n v="3076.35"/>
    <n v="3069.8"/>
    <n v="3069"/>
    <n v="3069.89"/>
    <n v="3743.9"/>
    <n v="2142"/>
    <x v="241"/>
    <x v="241"/>
    <x v="241"/>
    <n v="-0.23891949875664048"/>
    <n v="35"/>
    <n v="22.316418318523581"/>
    <n v="-18.026656694890356"/>
  </r>
  <r>
    <x v="242"/>
    <x v="0"/>
    <n v="3072.2"/>
    <n v="3095.75"/>
    <n v="3064"/>
    <n v="3069"/>
    <n v="3067"/>
    <n v="3067.1"/>
    <n v="3078.59"/>
    <n v="3743.9"/>
    <n v="2142"/>
    <x v="242"/>
    <x v="242"/>
    <x v="242"/>
    <n v="-6.1909416748129387E-2"/>
    <n v="31.75"/>
    <n v="30.033920058672535"/>
    <n v="-18.077405913619494"/>
  </r>
  <r>
    <x v="243"/>
    <x v="0"/>
    <n v="3078"/>
    <n v="3078"/>
    <n v="3022.1"/>
    <n v="3067.1"/>
    <n v="3028"/>
    <n v="3028"/>
    <n v="3041.32"/>
    <n v="3743.9"/>
    <n v="2142"/>
    <x v="243"/>
    <x v="243"/>
    <x v="243"/>
    <n v="-1.2748198624107434"/>
    <n v="55.900000000000091"/>
    <n v="25.175255417087683"/>
    <n v="-19.1217714148348"/>
  </r>
  <r>
    <x v="244"/>
    <x v="0"/>
    <n v="3030"/>
    <n v="3041.95"/>
    <n v="2981.3"/>
    <n v="3028"/>
    <n v="3022"/>
    <n v="3020.15"/>
    <n v="3007.33"/>
    <n v="3743.9"/>
    <n v="2142"/>
    <x v="244"/>
    <x v="244"/>
    <x v="244"/>
    <n v="-0.25924702774108022"/>
    <n v="60.649999999999636"/>
    <n v="18.365372613894145"/>
    <n v="-19.331445818531478"/>
  </r>
  <r>
    <x v="245"/>
    <x v="0"/>
    <n v="3030"/>
    <n v="3038.55"/>
    <n v="3003.3"/>
    <n v="3020.15"/>
    <n v="3033"/>
    <n v="3019.35"/>
    <n v="3019.69"/>
    <n v="3743.9"/>
    <n v="2142"/>
    <x v="245"/>
    <x v="245"/>
    <x v="245"/>
    <n v="-2.6488750558753105E-2"/>
    <n v="35.25"/>
    <n v="45.298368358548046"/>
    <n v="-19.352813910627958"/>
  </r>
  <r>
    <x v="246"/>
    <x v="0"/>
    <n v="3021.1"/>
    <n v="3059.15"/>
    <n v="2997.6"/>
    <n v="3019.35"/>
    <n v="3039"/>
    <n v="3042.15"/>
    <n v="3025.26"/>
    <n v="3743.9"/>
    <n v="2142"/>
    <x v="246"/>
    <x v="246"/>
    <x v="246"/>
    <n v="0.7551294152715049"/>
    <n v="61.550000000000182"/>
    <n v="24.985532007213656"/>
    <n v="-18.74382328587836"/>
  </r>
  <r>
    <x v="247"/>
    <x v="0"/>
    <n v="3037"/>
    <n v="3053.05"/>
    <n v="3023.8"/>
    <n v="3042.15"/>
    <n v="3035.95"/>
    <n v="3036.1"/>
    <n v="3036.89"/>
    <n v="3743.9"/>
    <n v="2142"/>
    <x v="247"/>
    <x v="247"/>
    <x v="247"/>
    <n v="-0.19887250793025266"/>
    <n v="29.25"/>
    <n v="31.508775557087066"/>
    <n v="-18.905419482357974"/>
  </r>
  <r>
    <x v="248"/>
    <x v="0"/>
    <n v="3010"/>
    <n v="3025"/>
    <n v="2955.2"/>
    <n v="3036.1"/>
    <n v="3013.5"/>
    <n v="3012.35"/>
    <n v="3005.91"/>
    <n v="3743.9"/>
    <n v="2142"/>
    <x v="248"/>
    <x v="248"/>
    <x v="248"/>
    <n v="-0.78225354896083799"/>
    <n v="69.800000000000182"/>
    <n v="23.736489661654137"/>
    <n v="-19.539784716472134"/>
  </r>
  <r>
    <x v="249"/>
    <x v="0"/>
    <n v="3025"/>
    <n v="3037.9"/>
    <n v="3002"/>
    <n v="3012.35"/>
    <n v="3012"/>
    <n v="3015.35"/>
    <n v="3015.88"/>
    <n v="3743.9"/>
    <n v="2142"/>
    <x v="249"/>
    <x v="249"/>
    <x v="249"/>
    <n v="9.9590021079887805E-2"/>
    <n v="35.900000000000091"/>
    <n v="16.297620633018155"/>
    <n v="-19.459654371110343"/>
  </r>
  <r>
    <x v="250"/>
    <x v="0"/>
    <n v="3019"/>
    <n v="3025"/>
    <n v="2968"/>
    <n v="3015.35"/>
    <n v="2972.1"/>
    <n v="2975.45"/>
    <n v="2990.04"/>
    <n v="3743.9"/>
    <n v="2142"/>
    <x v="250"/>
    <x v="250"/>
    <x v="250"/>
    <n v="-1.3232294758485779"/>
    <n v="57"/>
    <n v="16.531651757990566"/>
    <n v="-20.525387964422134"/>
  </r>
  <r>
    <x v="251"/>
    <x v="0"/>
    <n v="2972.1"/>
    <n v="2972.5"/>
    <n v="2927.3"/>
    <n v="2975.45"/>
    <n v="2968"/>
    <n v="2964.15"/>
    <n v="2953.73"/>
    <n v="3743.9"/>
    <n v="2142"/>
    <x v="251"/>
    <x v="251"/>
    <x v="251"/>
    <n v="-0.37977448789257856"/>
    <n v="45.199999999999818"/>
    <n v="20.266314613317725"/>
    <n v="-20.827212265284864"/>
  </r>
  <r>
    <x v="252"/>
    <x v="0"/>
    <n v="2971.6"/>
    <n v="3007.4"/>
    <n v="2947.6"/>
    <n v="2964.15"/>
    <n v="2986"/>
    <n v="2986.4"/>
    <n v="2975.72"/>
    <n v="3743.9"/>
    <n v="2142"/>
    <x v="252"/>
    <x v="252"/>
    <x v="252"/>
    <n v="0.75063677614155822"/>
    <n v="59.800000000000182"/>
    <n v="14.60094459582198"/>
    <n v="-20.232912203851598"/>
  </r>
  <r>
    <x v="253"/>
    <x v="0"/>
    <n v="2985"/>
    <n v="2992.95"/>
    <n v="2928"/>
    <n v="2986.4"/>
    <n v="2940"/>
    <n v="2937.85"/>
    <n v="2958.05"/>
    <n v="3743.9"/>
    <n v="2142"/>
    <x v="253"/>
    <x v="253"/>
    <x v="253"/>
    <n v="-1.6257031877846297"/>
    <n v="64.949999999999818"/>
    <n v="16.447850148999574"/>
    <n v="-21.529688292956546"/>
  </r>
  <r>
    <x v="254"/>
    <x v="0"/>
    <n v="2950"/>
    <n v="3000"/>
    <n v="2917.15"/>
    <n v="2937.85"/>
    <n v="2980.9"/>
    <n v="2991"/>
    <n v="2962.52"/>
    <n v="3743.9"/>
    <n v="2142"/>
    <x v="254"/>
    <x v="254"/>
    <x v="254"/>
    <n v="1.8091461442891941"/>
    <n v="82.849999999999909"/>
    <n v="14.68152873357762"/>
    <n v="-20.11004567429686"/>
  </r>
  <r>
    <x v="255"/>
    <x v="0"/>
    <n v="2972"/>
    <n v="3001.95"/>
    <n v="2956.05"/>
    <n v="2991"/>
    <n v="2965.35"/>
    <n v="2968.35"/>
    <n v="2974.23"/>
    <n v="3743.9"/>
    <n v="2142"/>
    <x v="255"/>
    <x v="255"/>
    <x v="255"/>
    <n v="-0.75727181544634203"/>
    <n v="45.899999999999636"/>
    <n v="17.569939707149011"/>
    <n v="-20.715029781778362"/>
  </r>
  <r>
    <x v="256"/>
    <x v="0"/>
    <n v="2972"/>
    <n v="3026.4"/>
    <n v="2972"/>
    <n v="2968.35"/>
    <n v="2982"/>
    <n v="2984.9"/>
    <n v="3000.63"/>
    <n v="3743.9"/>
    <n v="2142"/>
    <x v="256"/>
    <x v="256"/>
    <x v="256"/>
    <n v="0.5575488065760501"/>
    <n v="54.400000000000091"/>
    <n v="15.745815307254977"/>
    <n v="-20.272977376532491"/>
  </r>
  <r>
    <x v="257"/>
    <x v="0"/>
    <n v="2990.05"/>
    <n v="2995.9"/>
    <n v="2952.5"/>
    <n v="2984.9"/>
    <n v="2975"/>
    <n v="2975.2"/>
    <n v="2971.05"/>
    <n v="3743.9"/>
    <n v="2142"/>
    <x v="257"/>
    <x v="257"/>
    <x v="257"/>
    <n v="-0.32496901068713435"/>
    <n v="43.400000000000091"/>
    <n v="15.82559456398641"/>
    <n v="-20.532065493202282"/>
  </r>
  <r>
    <x v="258"/>
    <x v="0"/>
    <n v="2976"/>
    <n v="2984.75"/>
    <n v="2935"/>
    <n v="2975.2"/>
    <n v="2957"/>
    <n v="2956.3"/>
    <n v="2959.83"/>
    <n v="3743.9"/>
    <n v="2142"/>
    <x v="258"/>
    <x v="258"/>
    <x v="258"/>
    <n v="-0.63525141166979149"/>
    <n v="49.75"/>
    <n v="21.91782373863786"/>
    <n v="-21.036886668981541"/>
  </r>
  <r>
    <x v="259"/>
    <x v="0"/>
    <n v="2975.05"/>
    <n v="2975.25"/>
    <n v="2890.35"/>
    <n v="2956.3"/>
    <n v="2941"/>
    <n v="2943.15"/>
    <n v="2930.13"/>
    <n v="3743.9"/>
    <n v="2142"/>
    <x v="259"/>
    <x v="259"/>
    <x v="259"/>
    <n v="-0.44481277272266312"/>
    <n v="84.900000000000091"/>
    <n v="20.900999974748114"/>
    <n v="-21.388124682817384"/>
  </r>
  <r>
    <x v="260"/>
    <x v="0"/>
    <n v="2948.15"/>
    <n v="3025"/>
    <n v="2942.05"/>
    <n v="2943.15"/>
    <n v="3005.8"/>
    <n v="3008.5"/>
    <n v="3000.83"/>
    <n v="3743.9"/>
    <n v="2142"/>
    <x v="260"/>
    <x v="260"/>
    <x v="260"/>
    <n v="2.2204101048196629"/>
    <n v="82.949999999999818"/>
    <n v="23.351233406501514"/>
    <n v="-19.642618659686427"/>
  </r>
  <r>
    <x v="261"/>
    <x v="0"/>
    <n v="3020"/>
    <n v="3070"/>
    <n v="3015.25"/>
    <n v="3008.5"/>
    <n v="3035"/>
    <n v="3043.95"/>
    <n v="3046.7"/>
    <n v="3743.9"/>
    <n v="2142"/>
    <x v="261"/>
    <x v="261"/>
    <x v="261"/>
    <n v="1.1783280704670041"/>
    <n v="54.75"/>
    <n v="13.403949569789676"/>
    <n v="-18.695745078661297"/>
  </r>
  <r>
    <x v="262"/>
    <x v="0"/>
    <n v="3055"/>
    <n v="3101"/>
    <n v="3040.25"/>
    <n v="3043.95"/>
    <n v="3100.45"/>
    <n v="3093.9"/>
    <n v="3072.82"/>
    <n v="3743.9"/>
    <n v="2142"/>
    <x v="262"/>
    <x v="262"/>
    <x v="262"/>
    <n v="1.6409599369240715"/>
    <n v="60.75"/>
    <n v="19.14313545510743"/>
    <n v="-17.361574828387511"/>
  </r>
  <r>
    <x v="263"/>
    <x v="0"/>
    <n v="3108"/>
    <n v="3123.9"/>
    <n v="3080.2"/>
    <n v="3093.9"/>
    <n v="3101.05"/>
    <n v="3105.1"/>
    <n v="3100.01"/>
    <n v="3743.9"/>
    <n v="2142"/>
    <x v="263"/>
    <x v="263"/>
    <x v="263"/>
    <n v="0.3620026503765415"/>
    <n v="43.700000000000273"/>
    <n v="16.01234676160578"/>
    <n v="-17.062421539036837"/>
  </r>
  <r>
    <x v="264"/>
    <x v="0"/>
    <n v="3085"/>
    <n v="3148"/>
    <n v="3085"/>
    <n v="3105.1"/>
    <n v="3115"/>
    <n v="3122.65"/>
    <n v="3117.31"/>
    <n v="3743.9"/>
    <n v="2142"/>
    <x v="264"/>
    <x v="264"/>
    <x v="264"/>
    <n v="0.5651991884319405"/>
    <n v="63"/>
    <n v="18.511659332249113"/>
    <n v="-16.593659018670369"/>
  </r>
  <r>
    <x v="265"/>
    <x v="0"/>
    <n v="3122"/>
    <n v="3179"/>
    <n v="3116"/>
    <n v="3122.65"/>
    <n v="3137.65"/>
    <n v="3130.3"/>
    <n v="3134.82"/>
    <n v="3743.9"/>
    <n v="2142"/>
    <x v="265"/>
    <x v="265"/>
    <x v="265"/>
    <n v="0.24498422813956383"/>
    <n v="63"/>
    <n v="27.443928136273502"/>
    <n v="-16.389326637997804"/>
  </r>
  <r>
    <x v="266"/>
    <x v="0"/>
    <n v="3129"/>
    <n v="3209.9"/>
    <n v="3120.4"/>
    <n v="3130.3"/>
    <n v="3131"/>
    <n v="3135.85"/>
    <n v="3158.97"/>
    <n v="3743.9"/>
    <n v="2142"/>
    <x v="266"/>
    <x v="266"/>
    <x v="266"/>
    <n v="0.17729930038653569"/>
    <n v="89.5"/>
    <n v="17.426593668690373"/>
    <n v="-16.241085499078505"/>
  </r>
  <r>
    <x v="267"/>
    <x v="0"/>
    <n v="3136.3"/>
    <n v="3192"/>
    <n v="3107"/>
    <n v="3135.85"/>
    <n v="3183"/>
    <n v="3186.1"/>
    <n v="3156.94"/>
    <n v="3743.9"/>
    <n v="2142"/>
    <x v="267"/>
    <x v="267"/>
    <x v="267"/>
    <n v="1.6024363410239648"/>
    <n v="85"/>
    <n v="20.514638135682237"/>
    <n v="-14.898902214268547"/>
  </r>
  <r>
    <x v="268"/>
    <x v="0"/>
    <n v="3150"/>
    <n v="3196.35"/>
    <n v="3084.1"/>
    <n v="3186.1"/>
    <n v="3116.7"/>
    <n v="3116"/>
    <n v="3130.54"/>
    <n v="3743.9"/>
    <n v="2142"/>
    <x v="268"/>
    <x v="268"/>
    <x v="268"/>
    <n v="-2.2001820407394592"/>
    <n v="112.25"/>
    <n v="15.613263554432312"/>
    <n v="-16.771281284222336"/>
  </r>
  <r>
    <x v="269"/>
    <x v="0"/>
    <n v="3119.9"/>
    <n v="3149.5"/>
    <n v="3070"/>
    <n v="3116"/>
    <n v="3110"/>
    <n v="3110.65"/>
    <n v="3110.13"/>
    <n v="3743.9"/>
    <n v="2142"/>
    <x v="269"/>
    <x v="269"/>
    <x v="269"/>
    <n v="-0.17169448010269284"/>
    <n v="79.5"/>
    <n v="16.823382109943275"/>
    <n v="-16.914180400117523"/>
  </r>
  <r>
    <x v="270"/>
    <x v="0"/>
    <n v="3110.65"/>
    <n v="3128.5"/>
    <n v="2980.45"/>
    <n v="3110.65"/>
    <n v="3011"/>
    <n v="3018"/>
    <n v="3029.34"/>
    <n v="3743.9"/>
    <n v="2142"/>
    <x v="270"/>
    <x v="270"/>
    <x v="270"/>
    <n v="-2.9784771671515631"/>
    <n v="148.05000000000018"/>
    <n v="17.523911950949845"/>
    <n v="-19.388872566040764"/>
  </r>
  <r>
    <x v="271"/>
    <x v="0"/>
    <n v="3018.5"/>
    <n v="3170"/>
    <n v="2994.85"/>
    <n v="3018"/>
    <n v="3166.95"/>
    <n v="3160.7"/>
    <n v="3110.96"/>
    <n v="3743.9"/>
    <n v="2142"/>
    <x v="271"/>
    <x v="271"/>
    <x v="271"/>
    <n v="4.7282968853545331"/>
    <n v="175.15000000000009"/>
    <n v="18.033081592464015"/>
    <n v="-15.577339138331695"/>
  </r>
  <r>
    <x v="272"/>
    <x v="0"/>
    <n v="3175"/>
    <n v="3179.95"/>
    <n v="3134.4"/>
    <n v="3160.7"/>
    <n v="3152.4"/>
    <n v="3153.75"/>
    <n v="3155.44"/>
    <n v="3743.9"/>
    <n v="2142"/>
    <x v="272"/>
    <x v="272"/>
    <x v="272"/>
    <n v="-0.21988799949377727"/>
    <n v="45.549999999999727"/>
    <n v="14.733597136477078"/>
    <n v="-15.762974438419834"/>
  </r>
  <r>
    <x v="273"/>
    <x v="0"/>
    <n v="3140"/>
    <n v="3211"/>
    <n v="3056.1"/>
    <n v="3153.75"/>
    <n v="3194.8"/>
    <n v="3174.2"/>
    <n v="3120.45"/>
    <n v="3743.9"/>
    <n v="2142"/>
    <x v="273"/>
    <x v="273"/>
    <x v="273"/>
    <n v="0.64843440348790549"/>
    <n v="154.90000000000009"/>
    <n v="19.21064288358809"/>
    <n v="-15.216752584203643"/>
  </r>
  <r>
    <x v="274"/>
    <x v="0"/>
    <n v="3174.2"/>
    <n v="3190"/>
    <n v="3116"/>
    <n v="3174.2"/>
    <n v="3129.95"/>
    <n v="3137.2"/>
    <n v="3149.22"/>
    <n v="3743.9"/>
    <n v="2142"/>
    <x v="274"/>
    <x v="274"/>
    <x v="274"/>
    <n v="-1.1656480373007372"/>
    <n v="74"/>
    <n v="14.267640573318634"/>
    <n v="-16.205026843665703"/>
  </r>
  <r>
    <x v="275"/>
    <x v="0"/>
    <n v="3145"/>
    <n v="3150.1"/>
    <n v="3092.85"/>
    <n v="3137.2"/>
    <n v="3098.85"/>
    <n v="3101.1"/>
    <n v="3120.61"/>
    <n v="3743.9"/>
    <n v="2142"/>
    <x v="275"/>
    <x v="275"/>
    <x v="275"/>
    <n v="-1.1507076373836513"/>
    <n v="57.25"/>
    <n v="12.723541551608871"/>
    <n v="-17.169261999519222"/>
  </r>
  <r>
    <x v="276"/>
    <x v="0"/>
    <n v="3124"/>
    <n v="3128"/>
    <n v="3091.5"/>
    <n v="3101.1"/>
    <n v="3103.25"/>
    <n v="3104.7"/>
    <n v="3107.21"/>
    <n v="3743.9"/>
    <n v="2142"/>
    <x v="276"/>
    <x v="276"/>
    <x v="276"/>
    <n v="0.11608783979877815"/>
    <n v="36.5"/>
    <n v="10.476530123199232"/>
    <n v="-17.073105585085081"/>
  </r>
  <r>
    <x v="277"/>
    <x v="0"/>
    <n v="3098"/>
    <n v="3115.4"/>
    <n v="3061"/>
    <n v="3104.7"/>
    <n v="3078"/>
    <n v="3085.9"/>
    <n v="3089.06"/>
    <n v="3743.9"/>
    <n v="2142"/>
    <x v="277"/>
    <x v="277"/>
    <x v="13"/>
    <n v="-0.60553354591425024"/>
    <n v="54.400000000000091"/>
    <n v="12.242932125881373"/>
    <n v="-17.575255749352277"/>
  </r>
  <r>
    <x v="278"/>
    <x v="0"/>
    <n v="3089.95"/>
    <n v="3100"/>
    <n v="2993"/>
    <n v="3085.9"/>
    <n v="3005"/>
    <n v="3013.75"/>
    <n v="3032.31"/>
    <n v="3743.9"/>
    <n v="2142"/>
    <x v="278"/>
    <x v="278"/>
    <x v="277"/>
    <n v="-2.3380537282478397"/>
    <n v="107"/>
    <n v="39.031148022931063"/>
    <n v="-19.502390555303293"/>
  </r>
  <r>
    <x v="279"/>
    <x v="0"/>
    <n v="2990"/>
    <n v="3031.7"/>
    <n v="2968.1"/>
    <n v="3013.75"/>
    <n v="2999.95"/>
    <n v="3002"/>
    <n v="3001.38"/>
    <n v="3743.9"/>
    <n v="2142"/>
    <x v="279"/>
    <x v="279"/>
    <x v="278"/>
    <n v="-0.38987971795935294"/>
    <n v="63.599999999999909"/>
    <n v="16.723838125039375"/>
    <n v="-19.816234407970303"/>
  </r>
  <r>
    <x v="280"/>
    <x v="0"/>
    <n v="3005.15"/>
    <n v="3014.95"/>
    <n v="2916.95"/>
    <n v="3002"/>
    <n v="2932"/>
    <n v="2937.65"/>
    <n v="2949.2"/>
    <n v="3743.9"/>
    <n v="2142"/>
    <x v="280"/>
    <x v="280"/>
    <x v="279"/>
    <n v="-2.1435709526981981"/>
    <n v="98"/>
    <n v="15.138111208670994"/>
    <n v="-21.535030315980659"/>
  </r>
  <r>
    <x v="281"/>
    <x v="0"/>
    <n v="2938"/>
    <n v="2955"/>
    <n v="2818"/>
    <n v="2937.65"/>
    <n v="2840.9"/>
    <n v="2823.8"/>
    <n v="2860.67"/>
    <n v="3743.9"/>
    <n v="2142"/>
    <x v="281"/>
    <x v="281"/>
    <x v="280"/>
    <n v="-3.8755467805899237"/>
    <n v="137"/>
    <n v="12.106157494971329"/>
    <n v="-24.575976922460534"/>
  </r>
  <r>
    <x v="282"/>
    <x v="0"/>
    <n v="2840.85"/>
    <n v="2879"/>
    <n v="2820.1"/>
    <n v="2823.8"/>
    <n v="2829.9"/>
    <n v="2835.55"/>
    <n v="2850.63"/>
    <n v="3743.9"/>
    <n v="2142"/>
    <x v="282"/>
    <x v="282"/>
    <x v="281"/>
    <n v="0.41610595651250082"/>
    <n v="58.900000000000091"/>
    <n v="17.077934297542878"/>
    <n v="-24.262133069793528"/>
  </r>
  <r>
    <x v="283"/>
    <x v="0"/>
    <n v="2841.05"/>
    <n v="2875.15"/>
    <n v="2807.9"/>
    <n v="2835.55"/>
    <n v="2828.15"/>
    <n v="2830.2"/>
    <n v="2837.19"/>
    <n v="3743.9"/>
    <n v="2142"/>
    <x v="283"/>
    <x v="283"/>
    <x v="282"/>
    <n v="-0.18867591825220376"/>
    <n v="67.25"/>
    <n v="14.85885080676961"/>
    <n v="-24.405032185688729"/>
  </r>
  <r>
    <x v="284"/>
    <x v="0"/>
    <n v="2845"/>
    <n v="2847"/>
    <n v="2654.7"/>
    <n v="2830.2"/>
    <n v="2691.5"/>
    <n v="2693.45"/>
    <n v="2716.52"/>
    <n v="3743.9"/>
    <n v="2142"/>
    <x v="284"/>
    <x v="284"/>
    <x v="283"/>
    <n v="-4.8318140060773089"/>
    <n v="192.30000000000018"/>
    <n v="15.606050200049513"/>
    <n v="-28.057640428430254"/>
  </r>
  <r>
    <x v="285"/>
    <x v="0"/>
    <n v="2701.1"/>
    <n v="2822.4"/>
    <n v="2672.1"/>
    <n v="2693.45"/>
    <n v="2803"/>
    <n v="2798.65"/>
    <n v="2777.6"/>
    <n v="3743.9"/>
    <n v="2142"/>
    <x v="285"/>
    <x v="285"/>
    <x v="284"/>
    <n v="3.905771408416725"/>
    <n v="150.30000000000018"/>
    <n v="15.406887882799204"/>
    <n v="-25.247736317743531"/>
  </r>
  <r>
    <x v="286"/>
    <x v="0"/>
    <n v="2803"/>
    <n v="2863.05"/>
    <n v="2732.85"/>
    <n v="2798.65"/>
    <n v="2842"/>
    <n v="2848.6"/>
    <n v="2808.68"/>
    <n v="3743.9"/>
    <n v="2142"/>
    <x v="286"/>
    <x v="286"/>
    <x v="285"/>
    <n v="1.7847890947421012"/>
    <n v="130.20000000000027"/>
    <n v="15.200095382872814"/>
    <n v="-23.913566067469755"/>
  </r>
  <r>
    <x v="287"/>
    <x v="0"/>
    <n v="2864"/>
    <n v="2997.15"/>
    <n v="2815.05"/>
    <n v="2848.6"/>
    <n v="2955"/>
    <n v="2969.3"/>
    <n v="2944.04"/>
    <n v="3743.9"/>
    <n v="2142"/>
    <x v="287"/>
    <x v="287"/>
    <x v="286"/>
    <n v="4.2371691357158001"/>
    <n v="182.09999999999991"/>
    <n v="19.820450797141287"/>
    <n v="-20.68965517241379"/>
  </r>
  <r>
    <x v="288"/>
    <x v="0"/>
    <n v="2967.9"/>
    <n v="2976.5"/>
    <n v="2933.85"/>
    <n v="2969.3"/>
    <n v="2948.95"/>
    <n v="2947.25"/>
    <n v="2950.81"/>
    <n v="3743.9"/>
    <n v="2142"/>
    <x v="288"/>
    <x v="288"/>
    <x v="287"/>
    <n v="-0.74259926582023306"/>
    <n v="42.650000000000091"/>
    <n v="14.05654758287041"/>
    <n v="-21.278613210822943"/>
  </r>
  <r>
    <x v="289"/>
    <x v="0"/>
    <n v="2960"/>
    <n v="2975.6"/>
    <n v="2928.4"/>
    <n v="2947.25"/>
    <n v="2941.05"/>
    <n v="2949.5"/>
    <n v="2957.08"/>
    <n v="3743.9"/>
    <n v="2142"/>
    <x v="289"/>
    <x v="289"/>
    <x v="288"/>
    <n v="7.6342353040970395E-2"/>
    <n v="47.199999999999818"/>
    <n v="22.632075471698112"/>
    <n v="-21.218515451801597"/>
  </r>
  <r>
    <x v="290"/>
    <x v="0"/>
    <n v="2935"/>
    <n v="2943"/>
    <n v="2857.75"/>
    <n v="2949.5"/>
    <n v="2890"/>
    <n v="2897.4"/>
    <n v="2895.82"/>
    <n v="3743.9"/>
    <n v="2142"/>
    <x v="290"/>
    <x v="290"/>
    <x v="289"/>
    <n v="-1.7664010849296461"/>
    <n v="85.25"/>
    <n v="12.113198486113175"/>
    <n v="-22.610112449584658"/>
  </r>
  <r>
    <x v="291"/>
    <x v="0"/>
    <n v="2897.4"/>
    <n v="2924"/>
    <n v="2870"/>
    <n v="2897.4"/>
    <n v="2917.55"/>
    <n v="2915.55"/>
    <n v="2898.85"/>
    <n v="3743.9"/>
    <n v="2142"/>
    <x v="291"/>
    <x v="291"/>
    <x v="290"/>
    <n v="0.62642369020501454"/>
    <n v="54"/>
    <n v="12.596959193583496"/>
    <n v="-22.125323860145834"/>
  </r>
  <r>
    <x v="292"/>
    <x v="0"/>
    <n v="2918"/>
    <n v="3070"/>
    <n v="2918"/>
    <n v="2915.55"/>
    <n v="3046.25"/>
    <n v="3046.25"/>
    <n v="3010.7"/>
    <n v="3743.9"/>
    <n v="2142"/>
    <x v="292"/>
    <x v="292"/>
    <x v="291"/>
    <n v="4.482859151789536"/>
    <n v="152"/>
    <n v="16.832354565075541"/>
    <n v="-18.634311813883919"/>
  </r>
  <r>
    <x v="293"/>
    <x v="0"/>
    <n v="3045"/>
    <n v="3045"/>
    <n v="2943.05"/>
    <n v="3046.25"/>
    <n v="2962.65"/>
    <n v="2970.1"/>
    <n v="2968.25"/>
    <n v="3743.9"/>
    <n v="2142"/>
    <x v="293"/>
    <x v="293"/>
    <x v="292"/>
    <n v="-2.499794829708661"/>
    <n v="101.94999999999982"/>
    <n v="15.201430767411612"/>
    <n v="-20.66828708031732"/>
  </r>
  <r>
    <x v="294"/>
    <x v="0"/>
    <n v="2965.1"/>
    <n v="2995"/>
    <n v="2911.25"/>
    <n v="2970.1"/>
    <n v="2920"/>
    <n v="2929.1"/>
    <n v="2947.35"/>
    <n v="3743.9"/>
    <n v="2142"/>
    <x v="294"/>
    <x v="294"/>
    <x v="293"/>
    <n v="-1.3804249015184673"/>
    <n v="83.75"/>
    <n v="16.766472712680578"/>
    <n v="-21.763401800261764"/>
  </r>
  <r>
    <x v="295"/>
    <x v="0"/>
    <n v="2928"/>
    <n v="2946.8"/>
    <n v="2888"/>
    <n v="2929.1"/>
    <n v="2903"/>
    <n v="2903.65"/>
    <n v="2915.81"/>
    <n v="3743.9"/>
    <n v="2142"/>
    <x v="295"/>
    <x v="295"/>
    <x v="294"/>
    <n v="-0.86886757024341332"/>
    <n v="58.800000000000182"/>
    <n v="13.036600607034458"/>
    <n v="-22.443174230080931"/>
  </r>
  <r>
    <x v="296"/>
    <x v="0"/>
    <n v="2910"/>
    <n v="2930.45"/>
    <n v="2855"/>
    <n v="2903.65"/>
    <n v="2860"/>
    <n v="2870"/>
    <n v="2895.5"/>
    <n v="3743.9"/>
    <n v="2142"/>
    <x v="296"/>
    <x v="296"/>
    <x v="295"/>
    <n v="-1.1588862294009294"/>
    <n v="75.449999999999818"/>
    <n v="11.187034053871802"/>
    <n v="-23.341969603888995"/>
  </r>
  <r>
    <x v="297"/>
    <x v="0"/>
    <n v="2860"/>
    <n v="2889"/>
    <n v="2808"/>
    <n v="2870"/>
    <n v="2817"/>
    <n v="2816.7"/>
    <n v="2840.32"/>
    <n v="3743.9"/>
    <n v="2142"/>
    <x v="297"/>
    <x v="297"/>
    <x v="296"/>
    <n v="-1.8571428571428634"/>
    <n v="81"/>
    <n v="13.186762069833934"/>
    <n v="-24.765618739816773"/>
  </r>
  <r>
    <x v="298"/>
    <x v="0"/>
    <n v="2824"/>
    <n v="2844.8"/>
    <n v="2801"/>
    <n v="2816.7"/>
    <n v="2820"/>
    <n v="2826.8"/>
    <n v="2823.39"/>
    <n v="3743.9"/>
    <n v="2142"/>
    <x v="298"/>
    <x v="298"/>
    <x v="297"/>
    <n v="0.35857563815814125"/>
    <n v="43.800000000000182"/>
    <n v="9.7900161956801437"/>
    <n v="-24.495846577098746"/>
  </r>
  <r>
    <x v="299"/>
    <x v="0"/>
    <n v="2826.8"/>
    <n v="2858.65"/>
    <n v="2793.3"/>
    <n v="2826.8"/>
    <n v="2820"/>
    <n v="2818.7"/>
    <n v="2825.41"/>
    <n v="3743.9"/>
    <n v="2142"/>
    <x v="299"/>
    <x v="299"/>
    <x v="298"/>
    <n v="-0.2865430875902209"/>
    <n v="65.349999999999909"/>
    <n v="11.422719850711454"/>
    <n v="-24.712198509575583"/>
  </r>
  <r>
    <x v="300"/>
    <x v="0"/>
    <n v="2831"/>
    <n v="2894.8"/>
    <n v="2809.8"/>
    <n v="2818.7"/>
    <n v="2817"/>
    <n v="2821.5"/>
    <n v="2858.6"/>
    <n v="3743.9"/>
    <n v="2142"/>
    <x v="300"/>
    <x v="300"/>
    <x v="299"/>
    <n v="9.9336573597764294E-2"/>
    <n v="85"/>
    <n v="12.028619490860155"/>
    <n v="-24.637410187237911"/>
  </r>
  <r>
    <x v="301"/>
    <x v="0"/>
    <n v="2539.35"/>
    <n v="2539.35"/>
    <n v="2155.0500000000002"/>
    <n v="2821.5"/>
    <n v="2160"/>
    <n v="2183.65"/>
    <n v="2254.3000000000002"/>
    <n v="3743.9"/>
    <n v="2142"/>
    <x v="301"/>
    <x v="301"/>
    <x v="300"/>
    <n v="-22.606769448874708"/>
    <n v="384.29999999999973"/>
    <n v="27.498026273460475"/>
    <n v="-41.674457116910176"/>
  </r>
  <r>
    <x v="302"/>
    <x v="0"/>
    <n v="2101"/>
    <n v="2289.6999999999998"/>
    <n v="2025"/>
    <n v="2183.65"/>
    <n v="2229.9"/>
    <n v="2228"/>
    <n v="2188.5100000000002"/>
    <n v="3743.9"/>
    <n v="2025"/>
    <x v="302"/>
    <x v="302"/>
    <x v="301"/>
    <n v="2.0310031369495984"/>
    <n v="264.69999999999982"/>
    <n v="29.431097805232863"/>
    <n v="-40.489863511311732"/>
  </r>
  <r>
    <x v="303"/>
    <x v="0"/>
    <n v="2315"/>
    <n v="2333.65"/>
    <n v="2238"/>
    <n v="2228"/>
    <n v="2265.1999999999998"/>
    <n v="2257.5"/>
    <n v="2295.02"/>
    <n v="3743.9"/>
    <n v="2025"/>
    <x v="303"/>
    <x v="303"/>
    <x v="302"/>
    <n v="1.3240574506283662"/>
    <n v="95.650000000000091"/>
    <n v="29.537412624758197"/>
    <n v="-39.701915115254153"/>
  </r>
  <r>
    <x v="304"/>
    <x v="0"/>
    <n v="2265.6"/>
    <n v="2292.85"/>
    <n v="2136"/>
    <n v="2257.5"/>
    <n v="2166.85"/>
    <n v="2150.5"/>
    <n v="2189.62"/>
    <n v="3743.9"/>
    <n v="2025"/>
    <x v="304"/>
    <x v="304"/>
    <x v="303"/>
    <n v="-4.739756367663345"/>
    <n v="156.84999999999991"/>
    <n v="24.398848167208463"/>
    <n v="-42.559897433157943"/>
  </r>
  <r>
    <x v="305"/>
    <x v="0"/>
    <n v="2180"/>
    <n v="2418"/>
    <n v="2142.15"/>
    <n v="2150.5"/>
    <n v="2399"/>
    <n v="2397.8000000000002"/>
    <n v="2324.71"/>
    <n v="3743.9"/>
    <n v="2025"/>
    <x v="305"/>
    <x v="305"/>
    <x v="304"/>
    <n v="11.499651243896777"/>
    <n v="275.84999999999991"/>
    <n v="28.206900330705313"/>
    <n v="-35.9544859638345"/>
  </r>
  <r>
    <x v="306"/>
    <x v="0"/>
    <n v="2440"/>
    <n v="2526.3000000000002"/>
    <n v="2400"/>
    <n v="2397.8000000000002"/>
    <n v="2437"/>
    <n v="2437.1"/>
    <n v="2467.73"/>
    <n v="3743.9"/>
    <n v="2025"/>
    <x v="306"/>
    <x v="306"/>
    <x v="305"/>
    <n v="1.6390024188839656"/>
    <n v="126.30000000000018"/>
    <n v="24.454759990181223"/>
    <n v="-34.904778439595077"/>
  </r>
  <r>
    <x v="307"/>
    <x v="0"/>
    <n v="2464.0500000000002"/>
    <n v="2520"/>
    <n v="2400"/>
    <n v="2437.1"/>
    <n v="2457"/>
    <n v="2463.15"/>
    <n v="2460.36"/>
    <n v="3743.9"/>
    <n v="2025"/>
    <x v="307"/>
    <x v="307"/>
    <x v="306"/>
    <n v="1.0688933568585688"/>
    <n v="120"/>
    <n v="25.945206347195388"/>
    <n v="-34.208979940703543"/>
  </r>
  <r>
    <x v="308"/>
    <x v="0"/>
    <n v="2491.35"/>
    <n v="2508"/>
    <n v="2426.6"/>
    <n v="2463.15"/>
    <n v="2452.1"/>
    <n v="2457.0500000000002"/>
    <n v="2456.14"/>
    <n v="3743.9"/>
    <n v="2025"/>
    <x v="308"/>
    <x v="308"/>
    <x v="307"/>
    <n v="-0.24765036640074328"/>
    <n v="81.400000000000091"/>
    <n v="24.70359436839032"/>
    <n v="-34.371911642939182"/>
  </r>
  <r>
    <x v="309"/>
    <x v="0"/>
    <n v="2464"/>
    <n v="2558"/>
    <n v="2462.0500000000002"/>
    <n v="2457.0500000000002"/>
    <n v="2511"/>
    <n v="2514.1999999999998"/>
    <n v="2510.5700000000002"/>
    <n v="3743.9"/>
    <n v="2025"/>
    <x v="309"/>
    <x v="309"/>
    <x v="308"/>
    <n v="2.325959992674127"/>
    <n v="95.949999999999818"/>
    <n v="25.412350149850148"/>
    <n v="-32.845428563797121"/>
  </r>
  <r>
    <x v="310"/>
    <x v="0"/>
    <n v="2528"/>
    <n v="2530.0500000000002"/>
    <n v="2470.1"/>
    <n v="2514.1999999999998"/>
    <n v="2485"/>
    <n v="2494.75"/>
    <n v="2496.08"/>
    <n v="3743.9"/>
    <n v="2025"/>
    <x v="310"/>
    <x v="310"/>
    <x v="309"/>
    <n v="-0.77360591838357406"/>
    <n v="59.950000000000273"/>
    <n v="21.216265855997683"/>
    <n v="-33.364940302892713"/>
  </r>
  <r>
    <x v="311"/>
    <x v="0"/>
    <n v="2505"/>
    <n v="2538.15"/>
    <n v="2470.25"/>
    <n v="2494.75"/>
    <n v="2520.9"/>
    <n v="2522.5500000000002"/>
    <n v="2504.4"/>
    <n v="3743.9"/>
    <n v="2025"/>
    <x v="311"/>
    <x v="311"/>
    <x v="310"/>
    <n v="1.114340114239911"/>
    <n v="67.900000000000091"/>
    <n v="20.703272130984622"/>
    <n v="-32.622399102540129"/>
  </r>
  <r>
    <x v="312"/>
    <x v="0"/>
    <n v="2520"/>
    <n v="2535"/>
    <n v="2502.5"/>
    <n v="2522.5500000000002"/>
    <n v="2504.9"/>
    <n v="2506.4"/>
    <n v="2517.4299999999998"/>
    <n v="3743.9"/>
    <n v="2025"/>
    <x v="312"/>
    <x v="312"/>
    <x v="311"/>
    <n v="-0.64022516897584147"/>
    <n v="32.5"/>
    <n v="22.082834864345227"/>
    <n v="-33.053767461737763"/>
  </r>
  <r>
    <x v="313"/>
    <x v="0"/>
    <n v="2507.9"/>
    <n v="2526"/>
    <n v="2483.15"/>
    <n v="2506.4"/>
    <n v="2494.8000000000002"/>
    <n v="2495.85"/>
    <n v="2503.59"/>
    <n v="3743.9"/>
    <n v="2025"/>
    <x v="313"/>
    <x v="313"/>
    <x v="312"/>
    <n v="-0.4209224385573006"/>
    <n v="42.849999999999909"/>
    <n v="17.917458121447801"/>
    <n v="-33.335559176260055"/>
  </r>
  <r>
    <x v="314"/>
    <x v="0"/>
    <n v="2501"/>
    <n v="2501"/>
    <n v="2455"/>
    <n v="2495.85"/>
    <n v="2467.5"/>
    <n v="2467.1999999999998"/>
    <n v="2473.87"/>
    <n v="3743.9"/>
    <n v="2025"/>
    <x v="314"/>
    <x v="314"/>
    <x v="313"/>
    <n v="-1.1479055231684634"/>
    <n v="46"/>
    <n v="19.716951898020987"/>
    <n v="-34.100803974465137"/>
  </r>
  <r>
    <x v="315"/>
    <x v="0"/>
    <n v="2469"/>
    <n v="2480"/>
    <n v="2451"/>
    <n v="2467.1999999999998"/>
    <n v="2455"/>
    <n v="2457.25"/>
    <n v="2461.5700000000002"/>
    <n v="3743.9"/>
    <n v="2025"/>
    <x v="315"/>
    <x v="315"/>
    <x v="314"/>
    <n v="-0.40329118028533639"/>
    <n v="29"/>
    <n v="16.233662103368943"/>
    <n v="-34.366569619915069"/>
  </r>
  <r>
    <x v="316"/>
    <x v="0"/>
    <n v="2457"/>
    <n v="2534.8000000000002"/>
    <n v="2446.25"/>
    <n v="2457.25"/>
    <n v="2504"/>
    <n v="2504.1"/>
    <n v="2500.62"/>
    <n v="3743.9"/>
    <n v="2025"/>
    <x v="316"/>
    <x v="316"/>
    <x v="315"/>
    <n v="1.9066029097568382"/>
    <n v="88.550000000000182"/>
    <n v="18.908595135824548"/>
    <n v="-33.115200726515134"/>
  </r>
  <r>
    <x v="317"/>
    <x v="0"/>
    <n v="2504"/>
    <n v="2545"/>
    <n v="2479.0500000000002"/>
    <n v="2504.1"/>
    <n v="2527"/>
    <n v="2527.5500000000002"/>
    <n v="2516.13"/>
    <n v="3743.9"/>
    <n v="2025"/>
    <x v="317"/>
    <x v="317"/>
    <x v="316"/>
    <n v="0.9364641987141199"/>
    <n v="65.949999999999818"/>
    <n v="22.372858888350969"/>
    <n v="-32.488848526937147"/>
  </r>
  <r>
    <x v="318"/>
    <x v="0"/>
    <n v="2530"/>
    <n v="2537.5"/>
    <n v="2503"/>
    <n v="2527.5500000000002"/>
    <n v="2507"/>
    <n v="2512.4"/>
    <n v="2518.0500000000002"/>
    <n v="3743.9"/>
    <n v="2025"/>
    <x v="318"/>
    <x v="318"/>
    <x v="317"/>
    <n v="-0.59939467072857477"/>
    <n v="34.5"/>
    <n v="16.760271516393441"/>
    <n v="-32.893506771014181"/>
  </r>
  <r>
    <x v="319"/>
    <x v="0"/>
    <n v="2512"/>
    <n v="2525"/>
    <n v="2480.75"/>
    <n v="2512.4"/>
    <n v="2488.85"/>
    <n v="2487.6"/>
    <n v="2503.41"/>
    <n v="3743.9"/>
    <n v="2025"/>
    <x v="319"/>
    <x v="319"/>
    <x v="318"/>
    <n v="-0.98710396433689618"/>
    <n v="44.25"/>
    <n v="20.112714737579786"/>
    <n v="-33.55591762600497"/>
  </r>
  <r>
    <x v="320"/>
    <x v="0"/>
    <n v="2489"/>
    <n v="2496.6"/>
    <n v="2452"/>
    <n v="2487.6"/>
    <n v="2459.5500000000002"/>
    <n v="2457.4"/>
    <n v="2469.89"/>
    <n v="3743.9"/>
    <n v="2025"/>
    <x v="320"/>
    <x v="320"/>
    <x v="319"/>
    <n v="-1.2140215468724802"/>
    <n v="44.599999999999909"/>
    <n v="17.404900427117571"/>
    <n v="-34.362563102646973"/>
  </r>
  <r>
    <x v="321"/>
    <x v="0"/>
    <n v="2429"/>
    <n v="2434"/>
    <n v="2397.1"/>
    <n v="2457.4"/>
    <n v="2421.9499999999998"/>
    <n v="2419.35"/>
    <n v="2417.59"/>
    <n v="3743.9"/>
    <n v="2025"/>
    <x v="321"/>
    <x v="321"/>
    <x v="320"/>
    <n v="-1.5483844713925361"/>
    <n v="36.900000000000091"/>
    <n v="15.926183449892873"/>
    <n v="-35.378882982985658"/>
  </r>
  <r>
    <x v="322"/>
    <x v="0"/>
    <n v="2429"/>
    <n v="2453.85"/>
    <n v="2333"/>
    <n v="2419.35"/>
    <n v="2349.1999999999998"/>
    <n v="2344.9499999999998"/>
    <n v="2403.77"/>
    <n v="3743.9"/>
    <n v="2025"/>
    <x v="322"/>
    <x v="322"/>
    <x v="321"/>
    <n v="-3.0752061504123045"/>
    <n v="120.84999999999991"/>
    <n v="17.750670454847189"/>
    <n v="-37.366115547958017"/>
  </r>
  <r>
    <x v="323"/>
    <x v="0"/>
    <n v="2373.9499999999998"/>
    <n v="2379.5"/>
    <n v="2332.75"/>
    <n v="2344.9499999999998"/>
    <n v="2346"/>
    <n v="2338.9499999999998"/>
    <n v="2351.63"/>
    <n v="3743.9"/>
    <n v="2025"/>
    <x v="323"/>
    <x v="323"/>
    <x v="322"/>
    <n v="-0.25586899507452188"/>
    <n v="46.75"/>
    <n v="13.818645302257829"/>
    <n v="-37.5263762386816"/>
  </r>
  <r>
    <x v="324"/>
    <x v="0"/>
    <n v="2355.1999999999998"/>
    <n v="2412.9"/>
    <n v="2340"/>
    <n v="2338.9499999999998"/>
    <n v="2372"/>
    <n v="2372.4499999999998"/>
    <n v="2381.0500000000002"/>
    <n v="3743.9"/>
    <n v="2025"/>
    <x v="324"/>
    <x v="324"/>
    <x v="323"/>
    <n v="1.4322666153615942"/>
    <n v="72.900000000000091"/>
    <n v="16.512932573517858"/>
    <n v="-36.631587382141625"/>
  </r>
  <r>
    <x v="325"/>
    <x v="0"/>
    <n v="2378.0500000000002"/>
    <n v="2410"/>
    <n v="2368"/>
    <n v="2372.4499999999998"/>
    <n v="2401"/>
    <n v="2400.25"/>
    <n v="2389.27"/>
    <n v="3743.9"/>
    <n v="2025"/>
    <x v="325"/>
    <x v="325"/>
    <x v="324"/>
    <n v="1.1717844422432584"/>
    <n v="42"/>
    <n v="14.112184132585543"/>
    <n v="-35.889046181789048"/>
  </r>
  <r>
    <x v="326"/>
    <x v="0"/>
    <n v="2415"/>
    <n v="2446.15"/>
    <n v="2390.5"/>
    <n v="2400.25"/>
    <n v="2420"/>
    <n v="2409.9499999999998"/>
    <n v="2421"/>
    <n v="3743.9"/>
    <n v="2025"/>
    <x v="326"/>
    <x v="326"/>
    <x v="325"/>
    <n v="0.40412457035724692"/>
    <n v="55.650000000000091"/>
    <n v="26.948313598607921"/>
    <n v="-35.629958065119268"/>
  </r>
  <r>
    <x v="327"/>
    <x v="0"/>
    <n v="2425"/>
    <n v="2610"/>
    <n v="2421.9499999999998"/>
    <n v="2409.9499999999998"/>
    <n v="2585"/>
    <n v="2592.35"/>
    <n v="2549.0700000000002"/>
    <n v="3743.9"/>
    <n v="2025"/>
    <x v="327"/>
    <x v="327"/>
    <x v="326"/>
    <n v="7.5686217556380884"/>
    <n v="188.05000000000018"/>
    <n v="23.083426747533863"/>
    <n v="-30.758033067122525"/>
  </r>
  <r>
    <x v="328"/>
    <x v="0"/>
    <n v="2575"/>
    <n v="2577.75"/>
    <n v="2507.4499999999998"/>
    <n v="2592.35"/>
    <n v="2530"/>
    <n v="2528.65"/>
    <n v="2531.14"/>
    <n v="3743.9"/>
    <n v="2025"/>
    <x v="328"/>
    <x v="328"/>
    <x v="327"/>
    <n v="-2.4572299265145459"/>
    <n v="70.300000000000182"/>
    <n v="22.101181660119774"/>
    <n v="-32.45946740030449"/>
  </r>
  <r>
    <x v="329"/>
    <x v="0"/>
    <n v="2536"/>
    <n v="2644.2"/>
    <n v="2518.25"/>
    <n v="2528.65"/>
    <n v="2545.9"/>
    <n v="2554.85"/>
    <n v="2561.31"/>
    <n v="3743.9"/>
    <n v="2025"/>
    <x v="329"/>
    <x v="329"/>
    <x v="328"/>
    <n v="1.0361259960848601"/>
    <n v="125.94999999999982"/>
    <n v="20.442739137852595"/>
    <n v="-31.759662384144882"/>
  </r>
  <r>
    <x v="330"/>
    <x v="0"/>
    <n v="2565.6999999999998"/>
    <n v="2602"/>
    <n v="2537"/>
    <n v="2554.85"/>
    <n v="2587.85"/>
    <n v="2597.6999999999998"/>
    <n v="2569.89"/>
    <n v="3743.9"/>
    <n v="2025"/>
    <x v="330"/>
    <x v="330"/>
    <x v="329"/>
    <n v="1.6772021840812537"/>
    <n v="65"/>
    <n v="15.986249400808052"/>
    <n v="-30.615133951227335"/>
  </r>
  <r>
    <x v="331"/>
    <x v="0"/>
    <n v="2580"/>
    <n v="2619"/>
    <n v="2556.6"/>
    <n v="2597.6999999999998"/>
    <n v="2562"/>
    <n v="2564.6"/>
    <n v="2589.16"/>
    <n v="3743.9"/>
    <n v="2025"/>
    <x v="331"/>
    <x v="331"/>
    <x v="330"/>
    <n v="-1.274204103630131"/>
    <n v="62.400000000000091"/>
    <n v="17.888827094200675"/>
    <n v="-31.499238761719067"/>
  </r>
  <r>
    <x v="332"/>
    <x v="0"/>
    <n v="2557.65"/>
    <n v="2568.85"/>
    <n v="2463.5"/>
    <n v="2564.6"/>
    <n v="2472"/>
    <n v="2474.4499999999998"/>
    <n v="2497.27"/>
    <n v="3743.9"/>
    <n v="2025"/>
    <x v="332"/>
    <x v="332"/>
    <x v="331"/>
    <n v="-3.5151680573968691"/>
    <n v="105.34999999999991"/>
    <n v="12.617415079266852"/>
    <n v="-33.907155639840816"/>
  </r>
  <r>
    <x v="333"/>
    <x v="0"/>
    <n v="2474.65"/>
    <n v="2525"/>
    <n v="2474.65"/>
    <n v="2474.4499999999998"/>
    <n v="2524.8000000000002"/>
    <n v="2520.5500000000002"/>
    <n v="2510.58"/>
    <n v="3743.9"/>
    <n v="2025"/>
    <x v="333"/>
    <x v="333"/>
    <x v="332"/>
    <n v="1.8630402715755163"/>
    <n v="50.349999999999909"/>
    <n v="14.569004460201281"/>
    <n v="-32.675819332781316"/>
  </r>
  <r>
    <x v="334"/>
    <x v="0"/>
    <n v="2520.5500000000002"/>
    <n v="2530"/>
    <n v="2490"/>
    <n v="2520.5500000000002"/>
    <n v="2511.1999999999998"/>
    <n v="2515.25"/>
    <n v="2509.14"/>
    <n v="3743.9"/>
    <n v="2025"/>
    <x v="334"/>
    <x v="334"/>
    <x v="333"/>
    <n v="-0.21027156771340311"/>
    <n v="40"/>
    <n v="11.86443398389555"/>
    <n v="-32.817382942920489"/>
  </r>
  <r>
    <x v="335"/>
    <x v="0"/>
    <n v="2517"/>
    <n v="2517.5500000000002"/>
    <n v="2469.5"/>
    <n v="2515.25"/>
    <n v="2484.85"/>
    <n v="2477.9"/>
    <n v="2487.61"/>
    <n v="3743.9"/>
    <n v="2025"/>
    <x v="335"/>
    <x v="335"/>
    <x v="334"/>
    <n v="-1.4849418546864093"/>
    <n v="48.050000000000182"/>
    <n v="11.739118865068937"/>
    <n v="-33.815005742674749"/>
  </r>
  <r>
    <x v="336"/>
    <x v="0"/>
    <n v="2480"/>
    <n v="2484.6"/>
    <n v="2368.25"/>
    <n v="2477.9"/>
    <n v="2380.1"/>
    <n v="2374.4"/>
    <n v="2407.11"/>
    <n v="3743.9"/>
    <n v="2025"/>
    <x v="336"/>
    <x v="336"/>
    <x v="335"/>
    <n v="-4.1769240082327777"/>
    <n v="116.34999999999991"/>
    <n v="13.02315847445959"/>
    <n v="-36.579502657656455"/>
  </r>
  <r>
    <x v="337"/>
    <x v="0"/>
    <n v="2365"/>
    <n v="2365"/>
    <n v="2216.9"/>
    <n v="2374.4"/>
    <n v="2227"/>
    <n v="2225.15"/>
    <n v="2280.87"/>
    <n v="3743.9"/>
    <n v="2025"/>
    <x v="337"/>
    <x v="337"/>
    <x v="336"/>
    <n v="-6.2857985175202149"/>
    <n v="148.09999999999991"/>
    <n v="14.869530818065696"/>
    <n v="-40.565987339405432"/>
  </r>
  <r>
    <x v="338"/>
    <x v="0"/>
    <n v="2241.5"/>
    <n v="2422.9"/>
    <n v="2241.5"/>
    <n v="2225.15"/>
    <n v="2382"/>
    <n v="2380.5500000000002"/>
    <n v="2370.6799999999998"/>
    <n v="3743.9"/>
    <n v="2025"/>
    <x v="338"/>
    <x v="338"/>
    <x v="337"/>
    <n v="6.9837988450216884"/>
    <n v="181.40000000000009"/>
    <n v="17.227675790477065"/>
    <n v="-36.415235449664785"/>
  </r>
  <r>
    <x v="339"/>
    <x v="0"/>
    <n v="2399"/>
    <n v="2421.9499999999998"/>
    <n v="2372.65"/>
    <n v="2380.5500000000002"/>
    <n v="2377.6999999999998"/>
    <n v="2388.15"/>
    <n v="2394.1"/>
    <n v="3743.9"/>
    <n v="2025"/>
    <x v="339"/>
    <x v="339"/>
    <x v="338"/>
    <n v="0.31925395391820832"/>
    <n v="49.299999999999727"/>
    <n v="15.870451627309775"/>
    <n v="-36.212238574748255"/>
  </r>
  <r>
    <x v="340"/>
    <x v="0"/>
    <n v="2500"/>
    <n v="2570"/>
    <n v="2418.85"/>
    <n v="2388.15"/>
    <n v="2433"/>
    <n v="2427.85"/>
    <n v="2461.44"/>
    <n v="3743.9"/>
    <n v="2025"/>
    <x v="340"/>
    <x v="340"/>
    <x v="339"/>
    <n v="1.6623746414588623"/>
    <n v="151.15000000000009"/>
    <n v="16.799000975379069"/>
    <n v="-35.151847004460599"/>
  </r>
  <r>
    <x v="341"/>
    <x v="0"/>
    <n v="2450"/>
    <n v="2450"/>
    <n v="2380.0500000000002"/>
    <n v="2427.85"/>
    <n v="2399.5"/>
    <n v="2399.8000000000002"/>
    <n v="2404.16"/>
    <n v="3743.9"/>
    <n v="2025"/>
    <x v="341"/>
    <x v="341"/>
    <x v="340"/>
    <n v="-1.1553432048932071"/>
    <n v="69.949999999999818"/>
    <n v="15.403901059682644"/>
    <n v="-35.901065733593306"/>
  </r>
  <r>
    <x v="342"/>
    <x v="0"/>
    <n v="2413.75"/>
    <n v="2454"/>
    <n v="2390"/>
    <n v="2399.8000000000002"/>
    <n v="2434.1"/>
    <n v="2442.8000000000002"/>
    <n v="2424.85"/>
    <n v="3743.9"/>
    <n v="2025"/>
    <x v="342"/>
    <x v="342"/>
    <x v="341"/>
    <n v="1.7918159846653885"/>
    <n v="64"/>
    <n v="16.722734366201713"/>
    <n v="-34.752530783407678"/>
  </r>
  <r>
    <x v="343"/>
    <x v="0"/>
    <n v="2441.75"/>
    <n v="2441.75"/>
    <n v="2373.65"/>
    <n v="2442.8000000000002"/>
    <n v="2375"/>
    <n v="2384.3000000000002"/>
    <n v="2398.89"/>
    <n v="3743.9"/>
    <n v="2025"/>
    <x v="343"/>
    <x v="343"/>
    <x v="342"/>
    <n v="-2.394792860651711"/>
    <n v="68.099999999999909"/>
    <n v="15.94101947520017"/>
    <n v="-36.315072517962548"/>
  </r>
  <r>
    <x v="344"/>
    <x v="0"/>
    <n v="2399"/>
    <n v="2399"/>
    <n v="2325.15"/>
    <n v="2384.3000000000002"/>
    <n v="2377"/>
    <n v="2376.5500000000002"/>
    <n v="2350.04"/>
    <n v="3743.9"/>
    <n v="2025"/>
    <x v="344"/>
    <x v="344"/>
    <x v="343"/>
    <n v="-0.32504298955668331"/>
    <n v="73.849999999999909"/>
    <n v="16.276088066730978"/>
    <n v="-36.522075910147166"/>
  </r>
  <r>
    <x v="345"/>
    <x v="0"/>
    <n v="2383"/>
    <n v="2405.15"/>
    <n v="2355"/>
    <n v="2376.5500000000002"/>
    <n v="2376.3000000000002"/>
    <n v="2385"/>
    <n v="2383.4699999999998"/>
    <n v="3743.9"/>
    <n v="2025"/>
    <x v="345"/>
    <x v="345"/>
    <x v="344"/>
    <n v="0.35555742568007481"/>
    <n v="50.150000000000091"/>
    <n v="14.330900707252809"/>
    <n v="-36.296375437378138"/>
  </r>
  <r>
    <x v="346"/>
    <x v="0"/>
    <n v="2387.75"/>
    <n v="2406"/>
    <n v="2299.4"/>
    <n v="2385"/>
    <n v="2314.0500000000002"/>
    <n v="2315.1"/>
    <n v="2350.0500000000002"/>
    <n v="3743.9"/>
    <n v="2025"/>
    <x v="346"/>
    <x v="346"/>
    <x v="345"/>
    <n v="-2.9308176100628969"/>
    <n v="106.59999999999991"/>
    <n v="16.804625382725611"/>
    <n v="-38.163412484307813"/>
  </r>
  <r>
    <x v="347"/>
    <x v="0"/>
    <n v="2310.0500000000002"/>
    <n v="2318.1"/>
    <n v="2250.0500000000002"/>
    <n v="2315.1"/>
    <n v="2259.0500000000002"/>
    <n v="2259.6999999999998"/>
    <n v="2283.92"/>
    <n v="3743.9"/>
    <n v="2025"/>
    <x v="347"/>
    <x v="347"/>
    <x v="346"/>
    <n v="-2.3929851842253074"/>
    <n v="68.049999999999727"/>
    <n v="14.670723740271544"/>
    <n v="-39.643152861988838"/>
  </r>
  <r>
    <x v="348"/>
    <x v="0"/>
    <n v="2274.1999999999998"/>
    <n v="2315.85"/>
    <n v="2242"/>
    <n v="2259.6999999999998"/>
    <n v="2293.5"/>
    <n v="2286.0500000000002"/>
    <n v="2280.67"/>
    <n v="3743.9"/>
    <n v="2025"/>
    <x v="348"/>
    <x v="348"/>
    <x v="347"/>
    <n v="1.1660839934504741"/>
    <n v="73.849999999999909"/>
    <n v="14.026107652343013"/>
    <n v="-38.93934132856112"/>
  </r>
  <r>
    <x v="349"/>
    <x v="0"/>
    <n v="2297"/>
    <n v="2326.25"/>
    <n v="2282.6"/>
    <n v="2286.0500000000002"/>
    <n v="2321.8000000000002"/>
    <n v="2318.6"/>
    <n v="2311.65"/>
    <n v="3743.9"/>
    <n v="2025"/>
    <x v="349"/>
    <x v="349"/>
    <x v="348"/>
    <n v="1.4238533715360435"/>
    <n v="43.650000000000091"/>
    <n v="14.387379298972094"/>
    <n v="-38.069927081385721"/>
  </r>
  <r>
    <x v="350"/>
    <x v="0"/>
    <n v="2325"/>
    <n v="2351.5"/>
    <n v="2201.3000000000002"/>
    <n v="2318.6"/>
    <n v="2247.9"/>
    <n v="2252.6"/>
    <n v="2267.9299999999998"/>
    <n v="3743.9"/>
    <n v="2025"/>
    <x v="350"/>
    <x v="350"/>
    <x v="349"/>
    <n v="-2.8465453290778919"/>
    <n v="150.19999999999982"/>
    <n v="17.801304157429456"/>
    <n v="-39.832794679345071"/>
  </r>
  <r>
    <x v="351"/>
    <x v="0"/>
    <n v="2238.85"/>
    <n v="2314.9499999999998"/>
    <n v="2213.75"/>
    <n v="2252.6"/>
    <n v="2297"/>
    <n v="2287.8000000000002"/>
    <n v="2280.98"/>
    <n v="3743.9"/>
    <n v="2025"/>
    <x v="351"/>
    <x v="351"/>
    <x v="350"/>
    <n v="1.5626387285803192"/>
    <n v="101.19999999999982"/>
    <n v="20.78270159791899"/>
    <n v="-38.892598627100078"/>
  </r>
  <r>
    <x v="352"/>
    <x v="0"/>
    <n v="2297"/>
    <n v="2351.4499999999998"/>
    <n v="2237.5500000000002"/>
    <n v="2287.8000000000002"/>
    <n v="2269.9499999999998"/>
    <n v="2270"/>
    <n v="2290.9899999999998"/>
    <n v="3743.9"/>
    <n v="2025"/>
    <x v="352"/>
    <x v="352"/>
    <x v="351"/>
    <n v="-0.77804003846490866"/>
    <n v="113.89999999999964"/>
    <n v="16.365206437604627"/>
    <n v="-39.368038676246698"/>
  </r>
  <r>
    <x v="353"/>
    <x v="0"/>
    <n v="2266.75"/>
    <n v="2279"/>
    <n v="2213.9"/>
    <n v="2270"/>
    <n v="2266.9"/>
    <n v="2261.85"/>
    <n v="2247.6"/>
    <n v="3743.9"/>
    <n v="2025"/>
    <x v="353"/>
    <x v="353"/>
    <x v="352"/>
    <n v="-0.3590308370044093"/>
    <n v="65.099999999999909"/>
    <n v="13.067146093044622"/>
    <n v="-39.585726114479556"/>
  </r>
  <r>
    <x v="354"/>
    <x v="0"/>
    <n v="2278.9"/>
    <n v="2312"/>
    <n v="2267.5500000000002"/>
    <n v="2261.85"/>
    <n v="2303.25"/>
    <n v="2301.5"/>
    <n v="2295.2600000000002"/>
    <n v="3743.9"/>
    <n v="2025"/>
    <x v="354"/>
    <x v="354"/>
    <x v="353"/>
    <n v="1.7529898092269642"/>
    <n v="44.449999999999818"/>
    <n v="12.489149485933181"/>
    <n v="-38.526670049947917"/>
  </r>
  <r>
    <x v="355"/>
    <x v="0"/>
    <n v="2314.9499999999998"/>
    <n v="2349.4"/>
    <n v="2309.0500000000002"/>
    <n v="2301.5"/>
    <n v="2326.8000000000002"/>
    <n v="2324.6"/>
    <n v="2325.6"/>
    <n v="3743.9"/>
    <n v="2025"/>
    <x v="355"/>
    <x v="355"/>
    <x v="354"/>
    <n v="1.0036932435368198"/>
    <n v="40.349999999999909"/>
    <n v="12.884213427659231"/>
    <n v="-37.909666390662153"/>
  </r>
  <r>
    <x v="356"/>
    <x v="0"/>
    <n v="2340"/>
    <n v="2340"/>
    <n v="2298.1999999999998"/>
    <n v="2324.6"/>
    <n v="2309"/>
    <n v="2312.4499999999998"/>
    <n v="2313.94"/>
    <n v="3743.9"/>
    <n v="2025"/>
    <x v="356"/>
    <x v="356"/>
    <x v="355"/>
    <n v="-0.52267056697926917"/>
    <n v="41.800000000000182"/>
    <n v="11.981408450704226"/>
    <n v="-38.234194289377392"/>
  </r>
  <r>
    <x v="357"/>
    <x v="0"/>
    <n v="2312.4499999999998"/>
    <n v="2374.9"/>
    <n v="2307.35"/>
    <n v="2312.4499999999998"/>
    <n v="2340"/>
    <n v="2338.8000000000002"/>
    <n v="2340.71"/>
    <n v="3743.9"/>
    <n v="2025"/>
    <x v="357"/>
    <x v="357"/>
    <x v="356"/>
    <n v="1.1394840969534634"/>
    <n v="67.550000000000182"/>
    <n v="13.675488574404215"/>
    <n v="-37.530382755949674"/>
  </r>
  <r>
    <x v="358"/>
    <x v="0"/>
    <n v="2350"/>
    <n v="2350.9499999999998"/>
    <n v="2280.1"/>
    <n v="2338.8000000000002"/>
    <n v="2287"/>
    <n v="2290.8000000000002"/>
    <n v="2299.96"/>
    <n v="3743.9"/>
    <n v="2025"/>
    <x v="358"/>
    <x v="358"/>
    <x v="357"/>
    <n v="-2.0523345305284759"/>
    <n v="70.849999999999909"/>
    <n v="15.325336150993433"/>
    <n v="-38.81246828173829"/>
  </r>
  <r>
    <x v="359"/>
    <x v="0"/>
    <n v="2312"/>
    <n v="2397"/>
    <n v="2306"/>
    <n v="2290.8000000000002"/>
    <n v="2321"/>
    <n v="2321.75"/>
    <n v="2356.84"/>
    <n v="3743.9"/>
    <n v="2025"/>
    <x v="359"/>
    <x v="359"/>
    <x v="358"/>
    <n v="1.3510563995110798"/>
    <n v="91"/>
    <n v="22.511155664281642"/>
    <n v="-37.985790218755845"/>
  </r>
  <r>
    <x v="360"/>
    <x v="0"/>
    <n v="2325"/>
    <n v="2378.4499999999998"/>
    <n v="2281"/>
    <n v="2321.75"/>
    <n v="2357"/>
    <n v="2353.4499999999998"/>
    <n v="2330.04"/>
    <n v="3743.9"/>
    <n v="2025"/>
    <x v="360"/>
    <x v="360"/>
    <x v="359"/>
    <n v="1.3653494131581703"/>
    <n v="97.449999999999818"/>
    <n v="16.453858332056587"/>
    <n v="-37.139079569432951"/>
  </r>
  <r>
    <x v="361"/>
    <x v="0"/>
    <n v="2354"/>
    <n v="2372.75"/>
    <n v="2233.4"/>
    <n v="2353.4499999999998"/>
    <n v="2237.4499999999998"/>
    <n v="2244.6999999999998"/>
    <n v="2296.1999999999998"/>
    <n v="3743.9"/>
    <n v="2025"/>
    <x v="361"/>
    <x v="361"/>
    <x v="360"/>
    <n v="-4.6208757356221719"/>
    <n v="139.34999999999991"/>
    <n v="19.141894882123061"/>
    <n v="-40.043804588797784"/>
  </r>
  <r>
    <x v="362"/>
    <x v="0"/>
    <n v="2245.6999999999998"/>
    <n v="2249.3000000000002"/>
    <n v="2124.5500000000002"/>
    <n v="2244.6999999999998"/>
    <n v="2149"/>
    <n v="2152.65"/>
    <n v="2173.4299999999998"/>
    <n v="3743.9"/>
    <n v="2025"/>
    <x v="362"/>
    <x v="362"/>
    <x v="361"/>
    <n v="-4.1007707043257335"/>
    <n v="124.75"/>
    <n v="16.883676739320428"/>
    <n v="-42.502470685648653"/>
  </r>
  <r>
    <x v="363"/>
    <x v="0"/>
    <n v="2152.65"/>
    <n v="2240.4"/>
    <n v="2110.65"/>
    <n v="2152.65"/>
    <n v="2237.3000000000002"/>
    <n v="2223.6999999999998"/>
    <n v="2180.52"/>
    <n v="3743.9"/>
    <n v="2025"/>
    <x v="363"/>
    <x v="363"/>
    <x v="362"/>
    <n v="3.3005830023459333"/>
    <n v="129.75"/>
    <n v="13.733117551861115"/>
    <n v="-40.604717006330304"/>
  </r>
  <r>
    <x v="364"/>
    <x v="0"/>
    <n v="2240"/>
    <n v="2240"/>
    <n v="2166.0500000000002"/>
    <n v="2223.6999999999998"/>
    <n v="2213.0500000000002"/>
    <n v="2220.3000000000002"/>
    <n v="2199.31"/>
    <n v="3743.9"/>
    <n v="2025"/>
    <x v="364"/>
    <x v="364"/>
    <x v="363"/>
    <n v="-0.15289832261544437"/>
    <n v="73.949999999999818"/>
    <n v="14.988081598251091"/>
    <n v="-40.695531397740318"/>
  </r>
  <r>
    <x v="365"/>
    <x v="0"/>
    <n v="2166"/>
    <n v="2219.4"/>
    <n v="2127"/>
    <n v="2220.3000000000002"/>
    <n v="2177"/>
    <n v="2180.8000000000002"/>
    <n v="2187.5100000000002"/>
    <n v="3743.9"/>
    <n v="2025"/>
    <x v="365"/>
    <x v="365"/>
    <x v="364"/>
    <n v="-1.7790388686213572"/>
    <n v="92.400000000000091"/>
    <n v="15.499285042575393"/>
    <n v="-41.750580945003868"/>
  </r>
  <r>
    <x v="366"/>
    <x v="0"/>
    <n v="2180.8000000000002"/>
    <n v="2216.35"/>
    <n v="2156.8000000000002"/>
    <n v="2180.8000000000002"/>
    <n v="2178"/>
    <n v="2179"/>
    <n v="2187.58"/>
    <n v="3743.9"/>
    <n v="2025"/>
    <x v="366"/>
    <x v="366"/>
    <x v="365"/>
    <n v="-8.2538517975063369E-2"/>
    <n v="59.549999999999727"/>
    <n v="14.659570736708622"/>
    <n v="-41.798659152220949"/>
  </r>
  <r>
    <x v="367"/>
    <x v="0"/>
    <n v="2190.4499999999998"/>
    <n v="2199.6"/>
    <n v="2116.85"/>
    <n v="2179"/>
    <n v="2125"/>
    <n v="2133.1"/>
    <n v="2152.2399999999998"/>
    <n v="3743.9"/>
    <n v="2025"/>
    <x v="367"/>
    <x v="367"/>
    <x v="366"/>
    <n v="-2.1064708581918352"/>
    <n v="82.75"/>
    <n v="18.04167496339678"/>
    <n v="-43.024653436256315"/>
  </r>
  <r>
    <x v="368"/>
    <x v="0"/>
    <n v="2128.9499999999998"/>
    <n v="2138.5"/>
    <n v="2096.6999999999998"/>
    <n v="2133.1"/>
    <n v="2114.9"/>
    <n v="2115.15"/>
    <n v="2116.2199999999998"/>
    <n v="3743.9"/>
    <n v="2025"/>
    <x v="368"/>
    <x v="368"/>
    <x v="367"/>
    <n v="-0.84149828887533729"/>
    <n v="41.800000000000182"/>
    <n v="14.064142563250181"/>
    <n v="-43.504100002671009"/>
  </r>
  <r>
    <x v="369"/>
    <x v="0"/>
    <n v="2115.15"/>
    <n v="2158.3000000000002"/>
    <n v="2102"/>
    <n v="2115.15"/>
    <n v="2130"/>
    <n v="2129.85"/>
    <n v="2137.5500000000002"/>
    <n v="3743.9"/>
    <n v="2025"/>
    <x v="369"/>
    <x v="369"/>
    <x v="368"/>
    <n v="0.69498617119352368"/>
    <n v="56.300000000000182"/>
    <n v="14.297725571280882"/>
    <n v="-43.111461310398255"/>
  </r>
  <r>
    <x v="370"/>
    <x v="0"/>
    <n v="2143.75"/>
    <n v="2149.1"/>
    <n v="2102.5"/>
    <n v="2129.85"/>
    <n v="2108"/>
    <n v="2110.9499999999998"/>
    <n v="2122.6"/>
    <n v="3743.9"/>
    <n v="2025"/>
    <x v="370"/>
    <x v="370"/>
    <x v="369"/>
    <n v="-0.88738643566448772"/>
    <n v="46.599999999999909"/>
    <n v="14.911586379394956"/>
    <n v="-43.616282486177518"/>
  </r>
  <r>
    <x v="371"/>
    <x v="0"/>
    <n v="2107"/>
    <n v="2111.35"/>
    <n v="2072"/>
    <n v="2110.9499999999998"/>
    <n v="2097.5500000000002"/>
    <n v="2096"/>
    <n v="2093.84"/>
    <n v="3743.9"/>
    <n v="2025"/>
    <x v="371"/>
    <x v="371"/>
    <x v="370"/>
    <n v="-0.70821194249033936"/>
    <n v="39.349999999999909"/>
    <n v="23.952638004621175"/>
    <n v="-44.015598707230431"/>
  </r>
  <r>
    <x v="372"/>
    <x v="0"/>
    <n v="2109"/>
    <n v="2127.25"/>
    <n v="2026.55"/>
    <n v="2096"/>
    <n v="2122"/>
    <n v="2117.1"/>
    <n v="2078.96"/>
    <n v="3743.9"/>
    <n v="2025"/>
    <x v="372"/>
    <x v="372"/>
    <x v="371"/>
    <n v="1.0066793893129726"/>
    <n v="100.70000000000005"/>
    <n v="15.055595469928722"/>
    <n v="-43.452015278185854"/>
  </r>
  <r>
    <x v="373"/>
    <x v="0"/>
    <n v="2085.1"/>
    <n v="2154"/>
    <n v="2080"/>
    <n v="2117.1"/>
    <n v="2147.6"/>
    <n v="2144.8000000000002"/>
    <n v="2133.91"/>
    <n v="3743.9"/>
    <n v="2025"/>
    <x v="373"/>
    <x v="373"/>
    <x v="372"/>
    <n v="1.3083935572245182"/>
    <n v="74"/>
    <n v="15.000316544738324"/>
    <n v="-42.712145089345334"/>
  </r>
  <r>
    <x v="374"/>
    <x v="0"/>
    <n v="2153.9499999999998"/>
    <n v="2258.4"/>
    <n v="2148.0500000000002"/>
    <n v="2144.8000000000002"/>
    <n v="2242"/>
    <n v="2245.85"/>
    <n v="2219.6"/>
    <n v="3743.9"/>
    <n v="2025"/>
    <x v="374"/>
    <x v="374"/>
    <x v="373"/>
    <n v="4.7113950018649629"/>
    <n v="110.34999999999991"/>
    <n v="16.815243004418264"/>
    <n v="-40.013087956409095"/>
  </r>
  <r>
    <x v="375"/>
    <x v="0"/>
    <n v="2260"/>
    <n v="2268.9"/>
    <n v="2226.15"/>
    <n v="2245.85"/>
    <n v="2251"/>
    <n v="2252.85"/>
    <n v="2250.92"/>
    <n v="3743.9"/>
    <n v="2025"/>
    <x v="375"/>
    <x v="375"/>
    <x v="374"/>
    <n v="0.31168599861967633"/>
    <n v="42.75"/>
    <n v="10.888421413108619"/>
    <n v="-39.826117150564919"/>
  </r>
  <r>
    <x v="376"/>
    <x v="0"/>
    <n v="2249.9499999999998"/>
    <n v="2267.65"/>
    <n v="2227"/>
    <n v="2252.85"/>
    <n v="2249.5"/>
    <n v="2247.5"/>
    <n v="2247.94"/>
    <n v="3743.9"/>
    <n v="2025"/>
    <x v="376"/>
    <x v="376"/>
    <x v="375"/>
    <n v="-0.23747697361119957"/>
    <n v="40.650000000000091"/>
    <n v="18.222415097698846"/>
    <n v="-39.969016266460109"/>
  </r>
  <r>
    <x v="377"/>
    <x v="0"/>
    <n v="2245"/>
    <n v="2288"/>
    <n v="2220"/>
    <n v="2247.5"/>
    <n v="2224.4"/>
    <n v="2228.3000000000002"/>
    <n v="2258.17"/>
    <n v="3743.9"/>
    <n v="2025"/>
    <x v="377"/>
    <x v="377"/>
    <x v="376"/>
    <n v="-0.85428253615127103"/>
    <n v="68"/>
    <n v="16.383698436764782"/>
    <n v="-40.481850476775548"/>
  </r>
  <r>
    <x v="378"/>
    <x v="0"/>
    <n v="2223.15"/>
    <n v="2267.85"/>
    <n v="2208.3000000000002"/>
    <n v="2228.3000000000002"/>
    <n v="2252.65"/>
    <n v="2250.6"/>
    <n v="2251.19"/>
    <n v="3743.9"/>
    <n v="2025"/>
    <x v="378"/>
    <x v="378"/>
    <x v="377"/>
    <n v="1.0007629134317517"/>
    <n v="59.549999999999727"/>
    <n v="17.326411884158723"/>
    <n v="-39.886214909586265"/>
  </r>
  <r>
    <x v="379"/>
    <x v="0"/>
    <n v="2270"/>
    <n v="2280"/>
    <n v="2180.9499999999998"/>
    <n v="2250.6"/>
    <n v="2236"/>
    <n v="2241.8000000000002"/>
    <n v="2230.69"/>
    <n v="3743.9"/>
    <n v="2025"/>
    <x v="379"/>
    <x v="379"/>
    <x v="378"/>
    <n v="-0.39100684261973373"/>
    <n v="99.050000000000182"/>
    <n v="18.471599112582314"/>
    <n v="-40.121263922647508"/>
  </r>
  <r>
    <x v="380"/>
    <x v="0"/>
    <n v="2249"/>
    <n v="2273"/>
    <n v="2215.6"/>
    <n v="2241.8000000000002"/>
    <n v="2222.4499999999998"/>
    <n v="2221.1"/>
    <n v="2237.9"/>
    <n v="3743.9"/>
    <n v="2025"/>
    <x v="380"/>
    <x v="380"/>
    <x v="379"/>
    <n v="-0.92336515300206412"/>
    <n v="57.400000000000091"/>
    <n v="14.343254764772228"/>
    <n v="-40.674163305643852"/>
  </r>
  <r>
    <x v="381"/>
    <x v="0"/>
    <n v="2200"/>
    <n v="2286.9"/>
    <n v="2198"/>
    <n v="2221.1"/>
    <n v="2251"/>
    <n v="2252.6999999999998"/>
    <n v="2255.7199999999998"/>
    <n v="3743.9"/>
    <n v="2025"/>
    <x v="381"/>
    <x v="381"/>
    <x v="380"/>
    <n v="1.4227184728287745"/>
    <n v="88.900000000000091"/>
    <n v="17.63322752931785"/>
    <n v="-39.830123667833014"/>
  </r>
  <r>
    <x v="382"/>
    <x v="0"/>
    <n v="2274"/>
    <n v="2314.1999999999998"/>
    <n v="2259.75"/>
    <n v="2252.6999999999998"/>
    <n v="2304.5500000000002"/>
    <n v="2308.5"/>
    <n v="2291.19"/>
    <n v="3743.9"/>
    <n v="2025"/>
    <x v="382"/>
    <x v="382"/>
    <x v="381"/>
    <n v="2.4770275669197046"/>
    <n v="54.449999999999818"/>
    <n v="18.304015176784524"/>
    <n v="-38.339699244103741"/>
  </r>
  <r>
    <x v="383"/>
    <x v="0"/>
    <n v="2319.9499999999998"/>
    <n v="2342"/>
    <n v="2311.0500000000002"/>
    <n v="2308.5"/>
    <n v="2316.9"/>
    <n v="2318.65"/>
    <n v="2324.6799999999998"/>
    <n v="3743.9"/>
    <n v="2025"/>
    <x v="383"/>
    <x v="383"/>
    <x v="382"/>
    <n v="0.43967944552740268"/>
    <n v="30.949999999999818"/>
    <n v="24.530855673539357"/>
    <n v="-38.068591575629689"/>
  </r>
  <r>
    <x v="384"/>
    <x v="0"/>
    <n v="2348"/>
    <n v="2348"/>
    <n v="2299"/>
    <n v="2318.65"/>
    <n v="2338.0500000000002"/>
    <n v="2339.3000000000002"/>
    <n v="2330.0100000000002"/>
    <n v="3743.9"/>
    <n v="2025"/>
    <x v="384"/>
    <x v="384"/>
    <x v="383"/>
    <n v="0.8906044465529549"/>
    <n v="49"/>
    <n v="46.821062728490247"/>
    <n v="-37.517027698389377"/>
  </r>
  <r>
    <x v="385"/>
    <x v="0"/>
    <n v="2343.8000000000002"/>
    <n v="2389.5500000000002"/>
    <n v="2338"/>
    <n v="2339.3000000000002"/>
    <n v="2365"/>
    <n v="2362.8000000000002"/>
    <n v="2365.79"/>
    <n v="3743.9"/>
    <n v="2025"/>
    <x v="385"/>
    <x v="385"/>
    <x v="384"/>
    <n v="1.0045740178685931"/>
    <n v="51.550000000000182"/>
    <n v="19.917503028987866"/>
    <n v="-36.889339993055366"/>
  </r>
  <r>
    <x v="386"/>
    <x v="0"/>
    <n v="2370"/>
    <n v="2395"/>
    <n v="2361.1"/>
    <n v="2362.8000000000002"/>
    <n v="2370"/>
    <n v="2368.6999999999998"/>
    <n v="2376.1999999999998"/>
    <n v="3743.9"/>
    <n v="2025"/>
    <x v="386"/>
    <x v="386"/>
    <x v="385"/>
    <n v="0.24970374132383763"/>
    <n v="33.900000000000091"/>
    <n v="25.51420705680297"/>
    <n v="-36.731750313843861"/>
  </r>
  <r>
    <x v="387"/>
    <x v="0"/>
    <n v="2385"/>
    <n v="2387.65"/>
    <n v="2315.1"/>
    <n v="2368.6999999999998"/>
    <n v="2319.5"/>
    <n v="2320.35"/>
    <n v="2339.21"/>
    <n v="3743.9"/>
    <n v="2025"/>
    <x v="387"/>
    <x v="387"/>
    <x v="386"/>
    <n v="-2.0412040359690931"/>
    <n v="72.550000000000182"/>
    <n v="16.398010057162505"/>
    <n v="-38.023184379924679"/>
  </r>
  <r>
    <x v="388"/>
    <x v="0"/>
    <n v="2324.9"/>
    <n v="2359.85"/>
    <n v="2308.0500000000002"/>
    <n v="2320.35"/>
    <n v="2314"/>
    <n v="2312.6"/>
    <n v="2332.77"/>
    <n v="3743.9"/>
    <n v="2025"/>
    <x v="388"/>
    <x v="388"/>
    <x v="387"/>
    <n v="-0.33400133600534404"/>
    <n v="51.799999999999727"/>
    <n v="18.354684496163596"/>
    <n v="-38.230187772109304"/>
  </r>
  <r>
    <x v="389"/>
    <x v="0"/>
    <n v="2310"/>
    <n v="2373.9"/>
    <n v="2291.6"/>
    <n v="2312.6"/>
    <n v="2363"/>
    <n v="2363.35"/>
    <n v="2332.2600000000002"/>
    <n v="3743.9"/>
    <n v="2025"/>
    <x v="389"/>
    <x v="389"/>
    <x v="388"/>
    <n v="2.1944996973103867"/>
    <n v="82.300000000000182"/>
    <n v="20.891075937673214"/>
    <n v="-36.874649429739051"/>
  </r>
  <r>
    <x v="390"/>
    <x v="0"/>
    <n v="2376"/>
    <n v="2386.9499999999998"/>
    <n v="2293.6999999999998"/>
    <n v="2363.35"/>
    <n v="2316.65"/>
    <n v="2315.8000000000002"/>
    <n v="2330.66"/>
    <n v="3743.9"/>
    <n v="2025"/>
    <x v="390"/>
    <x v="390"/>
    <x v="389"/>
    <n v="-2.01197452768315"/>
    <n v="93.25"/>
    <n v="26.021141409710332"/>
    <n v="-38.144715403723389"/>
  </r>
  <r>
    <x v="391"/>
    <x v="0"/>
    <n v="2312"/>
    <n v="2358.9499999999998"/>
    <n v="2301"/>
    <n v="2315.8000000000002"/>
    <n v="2340"/>
    <n v="2335.25"/>
    <n v="2335.0500000000002"/>
    <n v="3743.9"/>
    <n v="2025"/>
    <x v="391"/>
    <x v="391"/>
    <x v="390"/>
    <n v="0.83988254598841938"/>
    <n v="57.949999999999818"/>
    <n v="12.901734995501863"/>
    <n v="-37.625203664627797"/>
  </r>
  <r>
    <x v="392"/>
    <x v="0"/>
    <n v="2339.75"/>
    <n v="2378.85"/>
    <n v="2314.5500000000002"/>
    <n v="2335.25"/>
    <n v="2369"/>
    <n v="2369.4"/>
    <n v="2352.69"/>
    <n v="3743.9"/>
    <n v="2025"/>
    <x v="392"/>
    <x v="392"/>
    <x v="391"/>
    <n v="1.462370195910506"/>
    <n v="64.299999999999727"/>
    <n v="12.814039161401237"/>
    <n v="-36.713053233259437"/>
  </r>
  <r>
    <x v="393"/>
    <x v="0"/>
    <n v="2339.75"/>
    <n v="2429.9"/>
    <n v="2339.6999999999998"/>
    <n v="2369.4"/>
    <n v="2414"/>
    <n v="2410.8000000000002"/>
    <n v="2403.94"/>
    <n v="3743.9"/>
    <n v="2025"/>
    <x v="393"/>
    <x v="393"/>
    <x v="392"/>
    <n v="1.7472777918460407"/>
    <n v="90.200000000000273"/>
    <n v="17.238358379944739"/>
    <n v="-35.607254467266749"/>
  </r>
  <r>
    <x v="394"/>
    <x v="0"/>
    <n v="2394.9499999999998"/>
    <n v="2410.0500000000002"/>
    <n v="2315.5"/>
    <n v="2410.8000000000002"/>
    <n v="2336.3000000000002"/>
    <n v="2334.65"/>
    <n v="2344.17"/>
    <n v="3743.9"/>
    <n v="2025"/>
    <x v="394"/>
    <x v="394"/>
    <x v="393"/>
    <n v="-3.1587025053924043"/>
    <n v="94.550000000000182"/>
    <n v="17.717603823191901"/>
    <n v="-37.64122973370015"/>
  </r>
  <r>
    <x v="395"/>
    <x v="0"/>
    <n v="2150.0500000000002"/>
    <n v="2239"/>
    <n v="2145"/>
    <n v="2334.65"/>
    <n v="2222.9"/>
    <n v="2212.6999999999998"/>
    <n v="2195.5700000000002"/>
    <n v="3743.9"/>
    <n v="2025"/>
    <x v="395"/>
    <x v="395"/>
    <x v="394"/>
    <n v="-5.2234810357012949"/>
    <n v="94"/>
    <n v="17.207543233598681"/>
    <n v="-40.898528272656861"/>
  </r>
  <r>
    <x v="396"/>
    <x v="0"/>
    <n v="2270"/>
    <n v="2301"/>
    <n v="2225"/>
    <n v="2212.6999999999998"/>
    <n v="2288.9499999999998"/>
    <n v="2285.6999999999998"/>
    <n v="2273.41"/>
    <n v="3743.9"/>
    <n v="2025"/>
    <x v="396"/>
    <x v="396"/>
    <x v="395"/>
    <n v="3.299136801193113"/>
    <n v="76"/>
    <n v="19.814568464663139"/>
    <n v="-38.948689868853343"/>
  </r>
  <r>
    <x v="397"/>
    <x v="0"/>
    <n v="2265.6999999999998"/>
    <n v="2279.5500000000002"/>
    <n v="2215.1999999999998"/>
    <n v="2285.6999999999998"/>
    <n v="2243.4499999999998"/>
    <n v="2236.9"/>
    <n v="2239.69"/>
    <n v="3743.9"/>
    <n v="2025"/>
    <x v="397"/>
    <x v="397"/>
    <x v="396"/>
    <n v="-2.1350133438333874"/>
    <n v="64.350000000000364"/>
    <n v="17.797000764023384"/>
    <n v="-40.252143486738426"/>
  </r>
  <r>
    <x v="398"/>
    <x v="0"/>
    <n v="2303.0500000000002"/>
    <n v="2343.5"/>
    <n v="2281"/>
    <n v="2236.9"/>
    <n v="2318.75"/>
    <n v="2321.4"/>
    <n v="2317.4299999999998"/>
    <n v="3743.9"/>
    <n v="2025"/>
    <x v="398"/>
    <x v="398"/>
    <x v="397"/>
    <n v="3.7775492869596312"/>
    <n v="62.5"/>
    <n v="15.847685327219002"/>
    <n v="-37.995138759048054"/>
  </r>
  <r>
    <x v="399"/>
    <x v="0"/>
    <n v="2375"/>
    <n v="2440"/>
    <n v="2359"/>
    <n v="2321.4"/>
    <n v="2415.9"/>
    <n v="2418.1999999999998"/>
    <n v="2410.0500000000002"/>
    <n v="3743.9"/>
    <n v="2025"/>
    <x v="399"/>
    <x v="399"/>
    <x v="398"/>
    <n v="4.1698974756612275"/>
    <n v="81"/>
    <n v="17.74479723552291"/>
    <n v="-35.409599615374347"/>
  </r>
  <r>
    <x v="400"/>
    <x v="0"/>
    <n v="2400"/>
    <n v="2428"/>
    <n v="2382.9"/>
    <n v="2418.1999999999998"/>
    <n v="2414.1"/>
    <n v="2415.6"/>
    <n v="2405.12"/>
    <n v="3743.9"/>
    <n v="2025"/>
    <x v="400"/>
    <x v="400"/>
    <x v="399"/>
    <n v="-0.10751798858654822"/>
    <n v="45.099999999999909"/>
    <n v="17.886983961088557"/>
    <n v="-35.479045914687894"/>
  </r>
  <r>
    <x v="401"/>
    <x v="0"/>
    <n v="2418"/>
    <n v="2448.6"/>
    <n v="2392"/>
    <n v="2415.6"/>
    <n v="2414.8000000000002"/>
    <n v="2418.1"/>
    <n v="2423.13"/>
    <n v="3743.9"/>
    <n v="2025"/>
    <x v="401"/>
    <x v="401"/>
    <x v="400"/>
    <n v="0.10349395595297235"/>
    <n v="56.599999999999909"/>
    <n v="16.025965541341275"/>
    <n v="-35.412270626886404"/>
  </r>
  <r>
    <x v="402"/>
    <x v="0"/>
    <n v="2426.1"/>
    <n v="2464.9"/>
    <n v="2395.5"/>
    <n v="2418.1"/>
    <n v="2440"/>
    <n v="2442.6999999999998"/>
    <n v="2436.61"/>
    <n v="3743.9"/>
    <n v="2025"/>
    <x v="402"/>
    <x v="402"/>
    <x v="401"/>
    <n v="1.0173276539431748"/>
    <n v="69.400000000000091"/>
    <n v="15.917641315623538"/>
    <n v="-34.755201794919742"/>
  </r>
  <r>
    <x v="403"/>
    <x v="0"/>
    <n v="2458.9"/>
    <n v="2483.4"/>
    <n v="2441"/>
    <n v="2442.6999999999998"/>
    <n v="2442.9"/>
    <n v="2445.5"/>
    <n v="2462.4899999999998"/>
    <n v="3743.9"/>
    <n v="2025"/>
    <x v="403"/>
    <x v="403"/>
    <x v="402"/>
    <n v="0.11462725672412422"/>
    <n v="42.400000000000091"/>
    <n v="16.823592669812356"/>
    <n v="-34.680413472582067"/>
  </r>
  <r>
    <x v="404"/>
    <x v="0"/>
    <n v="2460"/>
    <n v="2473.8000000000002"/>
    <n v="2421.1999999999998"/>
    <n v="2445.5"/>
    <n v="2446"/>
    <n v="2453.6"/>
    <n v="2448.1799999999998"/>
    <n v="3743.9"/>
    <n v="2025"/>
    <x v="404"/>
    <x v="404"/>
    <x v="403"/>
    <n v="0.33122060928235159"/>
    <n v="52.600000000000364"/>
    <n v="15.163234464869742"/>
    <n v="-34.464061540105241"/>
  </r>
  <r>
    <x v="405"/>
    <x v="0"/>
    <n v="2450"/>
    <n v="2461.4"/>
    <n v="2425.1"/>
    <n v="2453.6"/>
    <n v="2441"/>
    <n v="2442.5"/>
    <n v="2441.63"/>
    <n v="3743.9"/>
    <n v="2025"/>
    <x v="405"/>
    <x v="405"/>
    <x v="404"/>
    <n v="-0.45239647864362198"/>
    <n v="36.300000000000182"/>
    <n v="13.073970201577563"/>
    <n v="-34.760543817943855"/>
  </r>
  <r>
    <x v="406"/>
    <x v="0"/>
    <n v="2450.1"/>
    <n v="2459.5"/>
    <n v="2323.5"/>
    <n v="2442.5"/>
    <n v="2346"/>
    <n v="2354.3000000000002"/>
    <n v="2362.6"/>
    <n v="3743.9"/>
    <n v="2025"/>
    <x v="406"/>
    <x v="406"/>
    <x v="405"/>
    <n v="-3.6110542476970244"/>
    <n v="136"/>
    <n v="17.090780604479235"/>
    <n v="-37.116375971580432"/>
  </r>
  <r>
    <x v="407"/>
    <x v="0"/>
    <n v="2346"/>
    <n v="2402"/>
    <n v="2337.6"/>
    <n v="2354.3000000000002"/>
    <n v="2369.1"/>
    <n v="2369.8000000000002"/>
    <n v="2373.3000000000002"/>
    <n v="3743.9"/>
    <n v="2025"/>
    <x v="407"/>
    <x v="407"/>
    <x v="406"/>
    <n v="0.65836979144544028"/>
    <n v="64.400000000000091"/>
    <n v="14.133260048948438"/>
    <n v="-36.70236918721119"/>
  </r>
  <r>
    <x v="408"/>
    <x v="0"/>
    <n v="2392"/>
    <n v="2400"/>
    <n v="2325.6"/>
    <n v="2369.8000000000002"/>
    <n v="2330.5"/>
    <n v="2330.6"/>
    <n v="2353.79"/>
    <n v="3743.9"/>
    <n v="2025"/>
    <x v="408"/>
    <x v="408"/>
    <x v="407"/>
    <n v="-1.6541480293695783"/>
    <n v="74.400000000000091"/>
    <n v="15.492446990345082"/>
    <n v="-37.749405699938571"/>
  </r>
  <r>
    <x v="409"/>
    <x v="0"/>
    <n v="2331.4"/>
    <n v="2340"/>
    <n v="2285"/>
    <n v="2330.6"/>
    <n v="2290"/>
    <n v="2301.3000000000002"/>
    <n v="2313.67"/>
    <n v="3743.9"/>
    <n v="2025"/>
    <x v="409"/>
    <x v="409"/>
    <x v="408"/>
    <n v="-1.2571869904745443"/>
    <n v="55"/>
    <n v="15.898397752297061"/>
    <n v="-38.53201207297203"/>
  </r>
  <r>
    <x v="410"/>
    <x v="0"/>
    <n v="2349.9"/>
    <n v="2372.4"/>
    <n v="2289.4"/>
    <n v="2301.3000000000002"/>
    <n v="2290"/>
    <n v="2294.1999999999998"/>
    <n v="2324.92"/>
    <n v="3743.9"/>
    <n v="2025"/>
    <x v="410"/>
    <x v="410"/>
    <x v="409"/>
    <n v="-0.30852127058620621"/>
    <n v="83"/>
    <n v="20.148319206714945"/>
    <n v="-38.72165389032827"/>
  </r>
  <r>
    <x v="411"/>
    <x v="0"/>
    <n v="2312.6"/>
    <n v="2497"/>
    <n v="2297.8000000000002"/>
    <n v="2294.1999999999998"/>
    <n v="2465"/>
    <n v="2455.5"/>
    <n v="2437.2399999999998"/>
    <n v="3743.9"/>
    <n v="2025"/>
    <x v="411"/>
    <x v="411"/>
    <x v="410"/>
    <n v="7.0307732542934449"/>
    <n v="199.19999999999982"/>
    <n v="23.093237329895274"/>
    <n v="-34.413312321376104"/>
  </r>
  <r>
    <x v="412"/>
    <x v="0"/>
    <n v="2454"/>
    <n v="2463.1999999999998"/>
    <n v="2343.5"/>
    <n v="2455.5"/>
    <n v="2350"/>
    <n v="2354"/>
    <n v="2393.88"/>
    <n v="3743.9"/>
    <n v="2025"/>
    <x v="412"/>
    <x v="412"/>
    <x v="411"/>
    <n v="-4.1335776827530033"/>
    <n v="119.69999999999982"/>
    <n v="19.933480631201871"/>
    <n v="-37.124389006116623"/>
  </r>
  <r>
    <x v="413"/>
    <x v="0"/>
    <n v="2315"/>
    <n v="2379.5"/>
    <n v="2315"/>
    <n v="2354"/>
    <n v="2349"/>
    <n v="2353.1"/>
    <n v="2352.0300000000002"/>
    <n v="3743.9"/>
    <n v="2025"/>
    <x v="413"/>
    <x v="413"/>
    <x v="412"/>
    <n v="-3.8232795242144901E-2"/>
    <n v="64.5"/>
    <n v="13.992345000069088"/>
    <n v="-37.14842810972516"/>
  </r>
  <r>
    <x v="414"/>
    <x v="0"/>
    <n v="2362"/>
    <n v="2367.8000000000002"/>
    <n v="2260"/>
    <n v="2353.1"/>
    <n v="2270"/>
    <n v="2285.3000000000002"/>
    <n v="2316.2199999999998"/>
    <n v="3743.9"/>
    <n v="2025"/>
    <x v="414"/>
    <x v="414"/>
    <x v="413"/>
    <n v="-2.8813055118779367"/>
    <n v="107.80000000000018"/>
    <n v="17.709539574992302"/>
    <n v="-38.959373914901569"/>
  </r>
  <r>
    <x v="415"/>
    <x v="0"/>
    <n v="2240"/>
    <n v="2273.1"/>
    <n v="2233"/>
    <n v="2285.3000000000002"/>
    <n v="2255"/>
    <n v="2251"/>
    <n v="2247.36"/>
    <n v="3743.9"/>
    <n v="2025"/>
    <x v="415"/>
    <x v="415"/>
    <x v="414"/>
    <n v="-1.5008970375880706"/>
    <n v="40.099999999999909"/>
    <n v="18.376443080520239"/>
    <n v="-39.875530863538025"/>
  </r>
  <r>
    <x v="416"/>
    <x v="0"/>
    <n v="2350"/>
    <n v="2433.3000000000002"/>
    <n v="2315"/>
    <n v="2251"/>
    <n v="2425"/>
    <n v="2425.3000000000002"/>
    <n v="2404.1"/>
    <n v="3743.9"/>
    <n v="2025"/>
    <x v="416"/>
    <x v="416"/>
    <x v="415"/>
    <n v="7.7432252332296834"/>
    <n v="118.30000000000018"/>
    <n v="23.893156020476297"/>
    <n v="-35.219957798018108"/>
  </r>
  <r>
    <x v="417"/>
    <x v="0"/>
    <n v="2425"/>
    <n v="2454.9"/>
    <n v="2405"/>
    <n v="2425.3000000000002"/>
    <n v="2438.1999999999998"/>
    <n v="2441.1999999999998"/>
    <n v="2430.56"/>
    <n v="3743.9"/>
    <n v="2025"/>
    <x v="417"/>
    <x v="417"/>
    <x v="416"/>
    <n v="0.65558899929904069"/>
    <n v="49.900000000000091"/>
    <n v="20.421427446392009"/>
    <n v="-34.795266967600632"/>
  </r>
  <r>
    <x v="418"/>
    <x v="0"/>
    <n v="2444.9"/>
    <n v="2481.9"/>
    <n v="2430.1"/>
    <n v="2441.1999999999998"/>
    <n v="2463"/>
    <n v="2461.9"/>
    <n v="2464.92"/>
    <n v="3743.9"/>
    <n v="2025"/>
    <x v="418"/>
    <x v="418"/>
    <x v="417"/>
    <n v="0.84794363427823516"/>
    <n v="51.800000000000182"/>
    <n v="16.564165632887025"/>
    <n v="-34.242367584604288"/>
  </r>
  <r>
    <x v="419"/>
    <x v="0"/>
    <n v="2463.4"/>
    <n v="2526.8000000000002"/>
    <n v="2450.6999999999998"/>
    <n v="2461.9"/>
    <n v="2519"/>
    <n v="2520"/>
    <n v="2499.39"/>
    <n v="3743.9"/>
    <n v="2025"/>
    <x v="419"/>
    <x v="419"/>
    <x v="418"/>
    <n v="2.3599658800113699"/>
    <n v="76.100000000000364"/>
    <n v="14.586606749162687"/>
    <n v="-32.690509896097652"/>
  </r>
  <r>
    <x v="420"/>
    <x v="0"/>
    <n v="2529"/>
    <n v="2584.1999999999998"/>
    <n v="2516.1999999999998"/>
    <n v="2520"/>
    <n v="2551"/>
    <n v="2555"/>
    <n v="2555.88"/>
    <n v="3743.9"/>
    <n v="2025"/>
    <x v="420"/>
    <x v="420"/>
    <x v="419"/>
    <n v="1.3888888888888888"/>
    <n v="68"/>
    <n v="25.456188245513349"/>
    <n v="-31.755655866876786"/>
  </r>
  <r>
    <x v="421"/>
    <x v="0"/>
    <n v="2571.3000000000002"/>
    <n v="2578.8000000000002"/>
    <n v="2536"/>
    <n v="2555"/>
    <n v="2538"/>
    <n v="2540.6"/>
    <n v="2556.88"/>
    <n v="3743.9"/>
    <n v="2025"/>
    <x v="421"/>
    <x v="421"/>
    <x v="420"/>
    <n v="-0.56360078277886849"/>
    <n v="42.800000000000182"/>
    <n v="16.556854926940751"/>
    <n v="-32.140281524613371"/>
  </r>
  <r>
    <x v="422"/>
    <x v="0"/>
    <n v="2545"/>
    <n v="2564.8000000000002"/>
    <n v="2492.5"/>
    <n v="2540.6"/>
    <n v="2505.9"/>
    <n v="2501.6"/>
    <n v="2530.1"/>
    <n v="3743.9"/>
    <n v="2025"/>
    <x v="422"/>
    <x v="422"/>
    <x v="421"/>
    <n v="-1.535070455797843"/>
    <n v="72.300000000000182"/>
    <n v="14.75687297335401"/>
    <n v="-33.181976014316625"/>
  </r>
  <r>
    <x v="423"/>
    <x v="0"/>
    <n v="2509.6999999999998"/>
    <n v="2524.5"/>
    <n v="2483.6999999999998"/>
    <n v="2501.6"/>
    <n v="2503"/>
    <n v="2500.4"/>
    <n v="2503.2199999999998"/>
    <n v="3743.9"/>
    <n v="2025"/>
    <x v="423"/>
    <x v="423"/>
    <x v="422"/>
    <n v="-4.7969299648217868E-2"/>
    <n v="40.800000000000182"/>
    <n v="15.309939828743346"/>
    <n v="-33.214028152461339"/>
  </r>
  <r>
    <x v="424"/>
    <x v="0"/>
    <n v="2500.4"/>
    <n v="2521.9"/>
    <n v="2465.3000000000002"/>
    <n v="2500.4"/>
    <n v="2496.6"/>
    <n v="2487.6"/>
    <n v="2492.02"/>
    <n v="3743.9"/>
    <n v="2025"/>
    <x v="424"/>
    <x v="424"/>
    <x v="423"/>
    <n v="-0.51191809310511038"/>
    <n v="56.599999999999909"/>
    <n v="18.035737013761832"/>
    <n v="-33.55591762600497"/>
  </r>
  <r>
    <x v="425"/>
    <x v="0"/>
    <n v="2499"/>
    <n v="2548.1"/>
    <n v="2490.5"/>
    <n v="2487.6"/>
    <n v="2537"/>
    <n v="2540"/>
    <n v="2530.5"/>
    <n v="3743.9"/>
    <n v="2025"/>
    <x v="425"/>
    <x v="425"/>
    <x v="424"/>
    <n v="2.1064479819906774"/>
    <n v="57.599999999999909"/>
    <n v="26.064892070840287"/>
    <n v="-32.156307593685732"/>
  </r>
  <r>
    <x v="426"/>
    <x v="0"/>
    <n v="2549.1"/>
    <n v="2568.9"/>
    <n v="2541.3000000000002"/>
    <n v="2540"/>
    <n v="2543.6"/>
    <n v="2547.6999999999998"/>
    <n v="2554.17"/>
    <n v="3743.9"/>
    <n v="2025"/>
    <x v="426"/>
    <x v="426"/>
    <x v="425"/>
    <n v="0.30314960629920545"/>
    <n v="27.599999999999909"/>
    <n v="17.348980232193284"/>
    <n v="-31.950639707257146"/>
  </r>
  <r>
    <x v="427"/>
    <x v="0"/>
    <n v="2545.9"/>
    <n v="2569.1"/>
    <n v="2526.1"/>
    <n v="2547.6999999999998"/>
    <n v="2536"/>
    <n v="2540.3000000000002"/>
    <n v="2547.98"/>
    <n v="3743.9"/>
    <n v="2025"/>
    <x v="427"/>
    <x v="427"/>
    <x v="426"/>
    <n v="-0.29045806021115661"/>
    <n v="43"/>
    <n v="13.679098926787802"/>
    <n v="-32.148294559149548"/>
  </r>
  <r>
    <x v="428"/>
    <x v="0"/>
    <n v="2559"/>
    <n v="2559"/>
    <n v="2510"/>
    <n v="2540.3000000000002"/>
    <n v="2517.5"/>
    <n v="2515"/>
    <n v="2529.94"/>
    <n v="3743.9"/>
    <n v="2025"/>
    <x v="428"/>
    <x v="428"/>
    <x v="427"/>
    <n v="-0.9959453607841664"/>
    <n v="49"/>
    <n v="21.933247020296257"/>
    <n v="-32.824060471700633"/>
  </r>
  <r>
    <x v="429"/>
    <x v="0"/>
    <n v="2536.6999999999998"/>
    <n v="2559"/>
    <n v="2511"/>
    <n v="2515"/>
    <n v="2543"/>
    <n v="2540.8000000000002"/>
    <n v="2535.48"/>
    <n v="3743.9"/>
    <n v="2025"/>
    <x v="429"/>
    <x v="429"/>
    <x v="428"/>
    <n v="1.0258449304175024"/>
    <n v="48"/>
    <n v="19.274419833757747"/>
    <n v="-32.134939501589251"/>
  </r>
  <r>
    <x v="430"/>
    <x v="0"/>
    <n v="2550"/>
    <n v="2564"/>
    <n v="2513.8000000000002"/>
    <n v="2540.8000000000002"/>
    <n v="2518"/>
    <n v="2519.9"/>
    <n v="2530.54"/>
    <n v="3743.9"/>
    <n v="2025"/>
    <x v="430"/>
    <x v="430"/>
    <x v="429"/>
    <n v="-0.82257556675063326"/>
    <n v="50.199999999999818"/>
    <n v="18.429763635384699"/>
    <n v="-32.693180907609708"/>
  </r>
  <r>
    <x v="431"/>
    <x v="0"/>
    <n v="2527"/>
    <n v="2564"/>
    <n v="2514.9"/>
    <n v="2519.9"/>
    <n v="2524.6999999999998"/>
    <n v="2518.8000000000002"/>
    <n v="2534.89"/>
    <n v="3743.9"/>
    <n v="2025"/>
    <x v="431"/>
    <x v="431"/>
    <x v="430"/>
    <n v="-4.3652525893881064E-2"/>
    <n v="49.099999999999909"/>
    <n v="20.538676114267098"/>
    <n v="-32.722562034242365"/>
  </r>
  <r>
    <x v="432"/>
    <x v="0"/>
    <n v="2511"/>
    <n v="2512.5"/>
    <n v="2452"/>
    <n v="2518.8000000000002"/>
    <n v="2471.1"/>
    <n v="2470.9"/>
    <n v="2480.64"/>
    <n v="3743.9"/>
    <n v="2025"/>
    <x v="432"/>
    <x v="432"/>
    <x v="431"/>
    <n v="-1.9016992218516788"/>
    <n v="60.5"/>
    <n v="19.662751986274792"/>
    <n v="-34.001976548518925"/>
  </r>
  <r>
    <x v="433"/>
    <x v="0"/>
    <n v="2480"/>
    <n v="2503"/>
    <n v="2441.1"/>
    <n v="2470.9"/>
    <n v="2487"/>
    <n v="2489.4"/>
    <n v="2475.85"/>
    <n v="3743.9"/>
    <n v="2025"/>
    <x v="433"/>
    <x v="433"/>
    <x v="432"/>
    <n v="0.74871504310170378"/>
    <n v="61.900000000000091"/>
    <n v="16.183040028110451"/>
    <n v="-33.507839418787896"/>
  </r>
  <r>
    <x v="434"/>
    <x v="0"/>
    <n v="2495"/>
    <n v="2530.1"/>
    <n v="2487.5"/>
    <n v="2489.4"/>
    <n v="2510"/>
    <n v="2504.4"/>
    <n v="2510.52"/>
    <n v="3743.9"/>
    <n v="2025"/>
    <x v="434"/>
    <x v="434"/>
    <x v="433"/>
    <n v="0.60255483248975661"/>
    <n v="42.599999999999909"/>
    <n v="17.450141268565801"/>
    <n v="-33.10718769197895"/>
  </r>
  <r>
    <x v="435"/>
    <x v="0"/>
    <n v="2514.9"/>
    <n v="2553.3000000000002"/>
    <n v="2504"/>
    <n v="2504.4"/>
    <n v="2535"/>
    <n v="2534.1999999999998"/>
    <n v="2534.9499999999998"/>
    <n v="3743.9"/>
    <n v="2025"/>
    <x v="435"/>
    <x v="435"/>
    <x v="434"/>
    <n v="1.1899057658520893"/>
    <n v="49.300000000000182"/>
    <n v="11.879403693540013"/>
    <n v="-32.311226261385194"/>
  </r>
  <r>
    <x v="436"/>
    <x v="0"/>
    <n v="2545"/>
    <n v="2604.1"/>
    <n v="2524.5"/>
    <n v="2534.1999999999998"/>
    <n v="2582"/>
    <n v="2582.1"/>
    <n v="2568.33"/>
    <n v="3345"/>
    <n v="2025"/>
    <x v="436"/>
    <x v="436"/>
    <x v="435"/>
    <n v="1.8901428458685223"/>
    <n v="79.599999999999909"/>
    <n v="30.325322983678028"/>
    <n v="-22.80717488789238"/>
  </r>
  <r>
    <x v="437"/>
    <x v="0"/>
    <n v="2600"/>
    <n v="2663.2"/>
    <n v="2577.6999999999998"/>
    <n v="2582.1"/>
    <n v="2618"/>
    <n v="2613.1"/>
    <n v="2626.35"/>
    <n v="3345"/>
    <n v="2025"/>
    <x v="437"/>
    <x v="437"/>
    <x v="436"/>
    <n v="1.2005731768715386"/>
    <n v="85.5"/>
    <n v="24.047239369987885"/>
    <n v="-21.88041853512706"/>
  </r>
  <r>
    <x v="438"/>
    <x v="0"/>
    <n v="2630"/>
    <n v="2630.9"/>
    <n v="2563.1"/>
    <n v="2613.1"/>
    <n v="2584.1"/>
    <n v="2581.1999999999998"/>
    <n v="2596.52"/>
    <n v="3345"/>
    <n v="2025"/>
    <x v="438"/>
    <x v="438"/>
    <x v="437"/>
    <n v="-1.2207722628295927"/>
    <n v="67.800000000000182"/>
    <n v="20.139190576538606"/>
    <n v="-22.834080717488796"/>
  </r>
  <r>
    <x v="439"/>
    <x v="0"/>
    <n v="2591.5"/>
    <n v="2601.8000000000002"/>
    <n v="2530"/>
    <n v="2581.1999999999998"/>
    <n v="2536"/>
    <n v="2543.6999999999998"/>
    <n v="2561.98"/>
    <n v="3345"/>
    <n v="2025"/>
    <x v="439"/>
    <x v="439"/>
    <x v="438"/>
    <n v="-1.4528126452812646"/>
    <n v="71.800000000000182"/>
    <n v="16.75079799361605"/>
    <n v="-23.955156950672652"/>
  </r>
  <r>
    <x v="440"/>
    <x v="0"/>
    <n v="2498"/>
    <n v="2516"/>
    <n v="2460"/>
    <n v="2543.6999999999998"/>
    <n v="2506"/>
    <n v="2507.9"/>
    <n v="2502.73"/>
    <n v="3345"/>
    <n v="2025"/>
    <x v="440"/>
    <x v="440"/>
    <x v="439"/>
    <n v="-1.4073986712269422"/>
    <n v="56"/>
    <n v="16.845865207707948"/>
    <n v="-25.025411061285496"/>
  </r>
  <r>
    <x v="441"/>
    <x v="0"/>
    <n v="2500"/>
    <n v="2563.3000000000002"/>
    <n v="2462"/>
    <n v="2507.9"/>
    <n v="2539.9"/>
    <n v="2544"/>
    <n v="2527.44"/>
    <n v="3345"/>
    <n v="2025"/>
    <x v="441"/>
    <x v="441"/>
    <x v="440"/>
    <n v="1.439451333785235"/>
    <n v="101.30000000000018"/>
    <n v="22.867570410749295"/>
    <n v="-23.946188340807176"/>
  </r>
  <r>
    <x v="442"/>
    <x v="0"/>
    <n v="2535"/>
    <n v="2539.6"/>
    <n v="2479"/>
    <n v="2544"/>
    <n v="2485.1999999999998"/>
    <n v="2488.5"/>
    <n v="2499.54"/>
    <n v="3345"/>
    <n v="2025"/>
    <x v="442"/>
    <x v="442"/>
    <x v="441"/>
    <n v="-2.1816037735849054"/>
    <n v="60.599999999999909"/>
    <n v="20.385571850907194"/>
    <n v="-25.605381165919283"/>
  </r>
  <r>
    <x v="443"/>
    <x v="0"/>
    <n v="2491.9"/>
    <n v="2495.9"/>
    <n v="2445.4"/>
    <n v="2488.5"/>
    <n v="2456.9"/>
    <n v="2459.1"/>
    <n v="2467.9"/>
    <n v="3345"/>
    <n v="2025"/>
    <x v="443"/>
    <x v="443"/>
    <x v="442"/>
    <n v="-1.1814345991561217"/>
    <n v="50.5"/>
    <n v="16.464530779483635"/>
    <n v="-26.48430493273543"/>
  </r>
  <r>
    <x v="444"/>
    <x v="0"/>
    <n v="2466.3000000000002"/>
    <n v="2468.9"/>
    <n v="2405.1"/>
    <n v="2459.1"/>
    <n v="2414"/>
    <n v="2420.6"/>
    <n v="2431.1799999999998"/>
    <n v="3345"/>
    <n v="2025"/>
    <x v="444"/>
    <x v="444"/>
    <x v="443"/>
    <n v="-1.565613435809849"/>
    <n v="63.800000000000182"/>
    <n v="14.734600809300533"/>
    <n v="-27.635276532137521"/>
  </r>
  <r>
    <x v="445"/>
    <x v="0"/>
    <n v="2428"/>
    <n v="2461.3000000000002"/>
    <n v="2415"/>
    <n v="2420.6"/>
    <n v="2449.6"/>
    <n v="2448.4"/>
    <n v="2447.4899999999998"/>
    <n v="3345"/>
    <n v="2025"/>
    <x v="445"/>
    <x v="445"/>
    <x v="444"/>
    <n v="1.1484755845658177"/>
    <n v="46.300000000000182"/>
    <n v="44.652880640076141"/>
    <n v="-26.804185351270547"/>
  </r>
  <r>
    <x v="446"/>
    <x v="0"/>
    <n v="2438"/>
    <n v="2492.6"/>
    <n v="2421"/>
    <n v="2448.4"/>
    <n v="2466"/>
    <n v="2472"/>
    <n v="2467.6999999999998"/>
    <n v="3258"/>
    <n v="2025"/>
    <x v="446"/>
    <x v="446"/>
    <x v="445"/>
    <n v="0.96389478843325882"/>
    <n v="71.599999999999909"/>
    <n v="22.966648267046281"/>
    <n v="-24.125230202578269"/>
  </r>
  <r>
    <x v="447"/>
    <x v="0"/>
    <n v="2504"/>
    <n v="2544.6"/>
    <n v="2500.1999999999998"/>
    <n v="2472"/>
    <n v="2505"/>
    <n v="2505.6"/>
    <n v="2523.06"/>
    <n v="3258"/>
    <n v="2025"/>
    <x v="447"/>
    <x v="447"/>
    <x v="446"/>
    <n v="1.3592233009708701"/>
    <n v="44.400000000000091"/>
    <n v="18.688667566959261"/>
    <n v="-23.093922651933703"/>
  </r>
  <r>
    <x v="448"/>
    <x v="0"/>
    <n v="2519.9"/>
    <n v="2541.6"/>
    <n v="2512.1"/>
    <n v="2505.6"/>
    <n v="2530"/>
    <n v="2527.1999999999998"/>
    <n v="2527.87"/>
    <n v="3258"/>
    <n v="2025"/>
    <x v="448"/>
    <x v="448"/>
    <x v="447"/>
    <n v="0.86206896551723777"/>
    <n v="29.5"/>
    <n v="27.051469508793563"/>
    <n v="-22.430939226519342"/>
  </r>
  <r>
    <x v="449"/>
    <x v="0"/>
    <n v="2535"/>
    <n v="2593.6"/>
    <n v="2522.1999999999998"/>
    <n v="2527.1999999999998"/>
    <n v="2580"/>
    <n v="2586.1999999999998"/>
    <n v="2559.96"/>
    <n v="3258"/>
    <n v="2025"/>
    <x v="449"/>
    <x v="449"/>
    <x v="448"/>
    <n v="2.3345995568217792"/>
    <n v="71.400000000000091"/>
    <n v="23.230794575659836"/>
    <n v="-20.620012277470849"/>
  </r>
  <r>
    <x v="450"/>
    <x v="0"/>
    <n v="2587.6999999999998"/>
    <n v="2681.6"/>
    <n v="2582"/>
    <n v="2586.1999999999998"/>
    <n v="2644.8"/>
    <n v="2646.3"/>
    <n v="2642.47"/>
    <n v="3258"/>
    <n v="2025"/>
    <x v="450"/>
    <x v="450"/>
    <x v="449"/>
    <n v="2.3238728636609842"/>
    <n v="99.599999999999909"/>
    <n v="33.275394236221246"/>
    <n v="-18.775322283609572"/>
  </r>
  <r>
    <x v="451"/>
    <x v="0"/>
    <n v="2650"/>
    <n v="2653.9"/>
    <n v="2605.9"/>
    <n v="2646.3"/>
    <n v="2624.8"/>
    <n v="2619.4"/>
    <n v="2623.16"/>
    <n v="3258"/>
    <n v="2025"/>
    <x v="451"/>
    <x v="451"/>
    <x v="450"/>
    <n v="-1.0165136227940932"/>
    <n v="48"/>
    <n v="13.439621656124876"/>
    <n v="-19.600982197667278"/>
  </r>
  <r>
    <x v="452"/>
    <x v="0"/>
    <n v="2624.9"/>
    <n v="2645"/>
    <n v="2603"/>
    <n v="2619.4"/>
    <n v="2626"/>
    <n v="2621.8"/>
    <n v="2625.01"/>
    <n v="3258"/>
    <n v="2025"/>
    <x v="452"/>
    <x v="452"/>
    <x v="451"/>
    <n v="9.1624036038790976E-2"/>
    <n v="42"/>
    <n v="19.42505128000213"/>
    <n v="-19.527317372621233"/>
  </r>
  <r>
    <x v="453"/>
    <x v="0"/>
    <n v="2634"/>
    <n v="2646"/>
    <n v="2613.6"/>
    <n v="2621.8"/>
    <n v="2629"/>
    <n v="2630.2"/>
    <n v="2630.67"/>
    <n v="3258"/>
    <n v="2025"/>
    <x v="453"/>
    <x v="453"/>
    <x v="452"/>
    <n v="0.32039057136317173"/>
    <n v="32.400000000000091"/>
    <n v="18.073146613151849"/>
    <n v="-19.269490484960102"/>
  </r>
  <r>
    <x v="454"/>
    <x v="0"/>
    <n v="2634"/>
    <n v="2644"/>
    <n v="2605.1"/>
    <n v="2630.2"/>
    <n v="2608"/>
    <n v="2611.1999999999998"/>
    <n v="2618.1"/>
    <n v="3258"/>
    <n v="2025"/>
    <x v="454"/>
    <x v="454"/>
    <x v="453"/>
    <n v="-0.7223785263478063"/>
    <n v="38.900000000000091"/>
    <n v="16.82307666566275"/>
    <n v="-19.852670349907925"/>
  </r>
  <r>
    <x v="455"/>
    <x v="0"/>
    <n v="2617"/>
    <n v="2617"/>
    <n v="2582.1999999999998"/>
    <n v="2611.1999999999998"/>
    <n v="2599"/>
    <n v="2599.1"/>
    <n v="2599.15"/>
    <n v="3258"/>
    <n v="2025"/>
    <x v="455"/>
    <x v="455"/>
    <x v="454"/>
    <n v="-0.46338848039215341"/>
    <n v="34.800000000000182"/>
    <n v="14.730885511973904"/>
    <n v="-20.224063842848373"/>
  </r>
  <r>
    <x v="456"/>
    <x v="0"/>
    <n v="2602"/>
    <n v="2605.4"/>
    <n v="2572"/>
    <n v="2599.1"/>
    <n v="2587.6"/>
    <n v="2576.1"/>
    <n v="2582.98"/>
    <n v="3258"/>
    <n v="2025"/>
    <x v="456"/>
    <x v="456"/>
    <x v="455"/>
    <n v="-0.8849217036666539"/>
    <n v="33.400000000000091"/>
    <n v="13.565001316482359"/>
    <n v="-20.930018416206263"/>
  </r>
  <r>
    <x v="457"/>
    <x v="0"/>
    <n v="2586"/>
    <n v="2600"/>
    <n v="2573"/>
    <n v="2576.1"/>
    <n v="2588"/>
    <n v="2591.3000000000002"/>
    <n v="2585.46"/>
    <n v="3258"/>
    <n v="2025"/>
    <x v="457"/>
    <x v="457"/>
    <x v="456"/>
    <n v="0.59003920655255127"/>
    <n v="27"/>
    <n v="14.678525996142641"/>
    <n v="-20.463474524247999"/>
  </r>
  <r>
    <x v="458"/>
    <x v="0"/>
    <n v="2599"/>
    <n v="2609.9"/>
    <n v="2570"/>
    <n v="2591.3000000000002"/>
    <n v="2582.3000000000002"/>
    <n v="2583"/>
    <n v="2588.4699999999998"/>
    <n v="3258"/>
    <n v="2025"/>
    <x v="458"/>
    <x v="458"/>
    <x v="457"/>
    <n v="-0.32030255084321307"/>
    <n v="39.900000000000091"/>
    <n v="15.557210615028811"/>
    <n v="-20.718232044198896"/>
  </r>
  <r>
    <x v="459"/>
    <x v="0"/>
    <n v="2591"/>
    <n v="2604"/>
    <n v="2575"/>
    <n v="2583"/>
    <n v="2581"/>
    <n v="2581"/>
    <n v="2586"/>
    <n v="3258"/>
    <n v="2025"/>
    <x v="459"/>
    <x v="459"/>
    <x v="458"/>
    <n v="-7.7429345722028642E-2"/>
    <n v="29"/>
    <n v="12.446307498680525"/>
    <n v="-20.779619398403927"/>
  </r>
  <r>
    <x v="460"/>
    <x v="0"/>
    <n v="2575"/>
    <n v="2591.9"/>
    <n v="2551.9"/>
    <n v="2581"/>
    <n v="2562.9"/>
    <n v="2558.6999999999998"/>
    <n v="2567.75"/>
    <n v="3258"/>
    <n v="2025"/>
    <x v="460"/>
    <x v="460"/>
    <x v="459"/>
    <n v="-0.86400619914762422"/>
    <n v="40"/>
    <n v="14.938623326959847"/>
    <n v="-21.464088397790061"/>
  </r>
  <r>
    <x v="461"/>
    <x v="0"/>
    <n v="2555"/>
    <n v="2604.8000000000002"/>
    <n v="2543.5"/>
    <n v="2558.6999999999998"/>
    <n v="2578"/>
    <n v="2581.3000000000002"/>
    <n v="2576.63"/>
    <n v="3258"/>
    <n v="2025"/>
    <x v="461"/>
    <x v="461"/>
    <x v="460"/>
    <n v="0.88326103099231512"/>
    <n v="61.300000000000182"/>
    <n v="15.435076515936025"/>
    <n v="-20.770411295273167"/>
  </r>
  <r>
    <x v="462"/>
    <x v="0"/>
    <n v="2588"/>
    <n v="2606.9"/>
    <n v="2576"/>
    <n v="2581.3000000000002"/>
    <n v="2603.1"/>
    <n v="2598.1999999999998"/>
    <n v="2593.15"/>
    <n v="3258"/>
    <n v="2025"/>
    <x v="462"/>
    <x v="462"/>
    <x v="461"/>
    <n v="0.65470886762482605"/>
    <n v="30.900000000000091"/>
    <n v="15.564876728063338"/>
    <n v="-20.251688152240643"/>
  </r>
  <r>
    <x v="463"/>
    <x v="0"/>
    <n v="2602.5"/>
    <n v="2619.5"/>
    <n v="2595.5"/>
    <n v="2598.1999999999998"/>
    <n v="2608.1999999999998"/>
    <n v="2608.5"/>
    <n v="2610.5500000000002"/>
    <n v="3258"/>
    <n v="2025"/>
    <x v="463"/>
    <x v="463"/>
    <x v="462"/>
    <n v="0.39642829651297751"/>
    <n v="24"/>
    <n v="18.529400653048008"/>
    <n v="-19.935543278084715"/>
  </r>
  <r>
    <x v="464"/>
    <x v="0"/>
    <n v="2612"/>
    <n v="2654.5"/>
    <n v="2605.3000000000002"/>
    <n v="2608.5"/>
    <n v="2614.9"/>
    <n v="2616.6"/>
    <n v="2628.55"/>
    <n v="3258"/>
    <n v="2025"/>
    <x v="464"/>
    <x v="464"/>
    <x v="463"/>
    <n v="0.31052328924669004"/>
    <n v="49.199999999999818"/>
    <n v="17.873868340839817"/>
    <n v="-19.686924493554329"/>
  </r>
  <r>
    <x v="465"/>
    <x v="0"/>
    <n v="2612"/>
    <n v="2626.7"/>
    <n v="2584.1999999999998"/>
    <n v="2616.6"/>
    <n v="2594.1999999999998"/>
    <n v="2596.1"/>
    <n v="2599.8000000000002"/>
    <n v="3258"/>
    <n v="2025"/>
    <x v="465"/>
    <x v="465"/>
    <x v="464"/>
    <n v="-0.78345945119620897"/>
    <n v="42.5"/>
    <n v="14.818055512674055"/>
    <n v="-20.316144874155924"/>
  </r>
  <r>
    <x v="466"/>
    <x v="0"/>
    <n v="2596.3000000000002"/>
    <n v="2624.9"/>
    <n v="2585"/>
    <n v="2596.1"/>
    <n v="2615.6999999999998"/>
    <n v="2619.5"/>
    <n v="2612.2199999999998"/>
    <n v="3258"/>
    <n v="2025"/>
    <x v="466"/>
    <x v="466"/>
    <x v="465"/>
    <n v="0.9013520280420666"/>
    <n v="39.900000000000091"/>
    <n v="13.170281725255547"/>
    <n v="-19.597912829957028"/>
  </r>
  <r>
    <x v="467"/>
    <x v="0"/>
    <n v="2626"/>
    <n v="2630"/>
    <n v="2581.6"/>
    <n v="2619.5"/>
    <n v="2593.9"/>
    <n v="2587.8000000000002"/>
    <n v="2599.9899999999998"/>
    <n v="3258"/>
    <n v="2025"/>
    <x v="467"/>
    <x v="467"/>
    <x v="466"/>
    <n v="-1.2101546096583249"/>
    <n v="48.400000000000091"/>
    <n v="14.945939684133297"/>
    <n v="-20.570902394106806"/>
  </r>
  <r>
    <x v="468"/>
    <x v="0"/>
    <n v="2600.6999999999998"/>
    <n v="2625.9"/>
    <n v="2593.5"/>
    <n v="2587.8000000000002"/>
    <n v="2615.5"/>
    <n v="2614.5"/>
    <n v="2612.73"/>
    <n v="3258"/>
    <n v="2025"/>
    <x v="468"/>
    <x v="468"/>
    <x v="467"/>
    <n v="1.0317644331091975"/>
    <n v="32.400000000000091"/>
    <n v="12.943265022293124"/>
    <n v="-19.751381215469614"/>
  </r>
  <r>
    <x v="469"/>
    <x v="0"/>
    <n v="2615.4"/>
    <n v="2624.2"/>
    <n v="2595"/>
    <n v="2614.5"/>
    <n v="2608"/>
    <n v="2608.4"/>
    <n v="2607.65"/>
    <n v="3258"/>
    <n v="2025"/>
    <x v="469"/>
    <x v="469"/>
    <x v="468"/>
    <n v="-0.2333142092178202"/>
    <n v="29.199999999999818"/>
    <n v="11.521928629801144"/>
    <n v="-19.938612645794965"/>
  </r>
  <r>
    <x v="470"/>
    <x v="0"/>
    <n v="2605"/>
    <n v="2617"/>
    <n v="2544.1"/>
    <n v="2608.4"/>
    <n v="2549.5"/>
    <n v="2550.1"/>
    <n v="2568.46"/>
    <n v="3258"/>
    <n v="2025"/>
    <x v="470"/>
    <x v="470"/>
    <x v="469"/>
    <n v="-2.2350866431528975"/>
    <n v="72.900000000000091"/>
    <n v="14.038152544053956"/>
    <n v="-21.728054020871703"/>
  </r>
  <r>
    <x v="471"/>
    <x v="0"/>
    <n v="2549"/>
    <n v="2585"/>
    <n v="2512.6"/>
    <n v="2550.1"/>
    <n v="2528"/>
    <n v="2522.3000000000002"/>
    <n v="2545.5500000000002"/>
    <n v="3258"/>
    <n v="2025"/>
    <x v="471"/>
    <x v="471"/>
    <x v="470"/>
    <n v="-1.0901533273204866"/>
    <n v="72.400000000000091"/>
    <n v="12.662085476148253"/>
    <n v="-22.581338244321664"/>
  </r>
  <r>
    <x v="472"/>
    <x v="0"/>
    <n v="2529"/>
    <n v="2557.4"/>
    <n v="2507.5"/>
    <n v="2522.3000000000002"/>
    <n v="2545.5"/>
    <n v="2547.9"/>
    <n v="2534.7199999999998"/>
    <n v="3258"/>
    <n v="2025"/>
    <x v="472"/>
    <x v="472"/>
    <x v="471"/>
    <n v="1.01494667565317"/>
    <n v="49.900000000000091"/>
    <n v="13.05893384161338"/>
    <n v="-21.795580110497234"/>
  </r>
  <r>
    <x v="473"/>
    <x v="0"/>
    <n v="2547.9"/>
    <n v="2552.6"/>
    <n v="2525"/>
    <n v="2547.9"/>
    <n v="2527"/>
    <n v="2532.9"/>
    <n v="2541.06"/>
    <n v="3258"/>
    <n v="2025"/>
    <x v="473"/>
    <x v="473"/>
    <x v="472"/>
    <n v="-0.58872012245378547"/>
    <n v="27.599999999999909"/>
    <n v="11.527866977521665"/>
    <n v="-22.25598526703499"/>
  </r>
  <r>
    <x v="474"/>
    <x v="0"/>
    <n v="2509.9"/>
    <n v="2520"/>
    <n v="2422.6"/>
    <n v="2532.9"/>
    <n v="2430"/>
    <n v="2430.6999999999998"/>
    <n v="2466.4699999999998"/>
    <n v="3258"/>
    <n v="2025"/>
    <x v="474"/>
    <x v="474"/>
    <x v="473"/>
    <n v="-4.0349007066998404"/>
    <n v="97.400000000000091"/>
    <n v="19.505620383256609"/>
    <n v="-25.392879066912222"/>
  </r>
  <r>
    <x v="475"/>
    <x v="0"/>
    <n v="2425"/>
    <n v="2444.9"/>
    <n v="2333"/>
    <n v="2430.6999999999998"/>
    <n v="2341.5"/>
    <n v="2350.9"/>
    <n v="2387.3000000000002"/>
    <n v="3258"/>
    <n v="2025"/>
    <x v="475"/>
    <x v="475"/>
    <x v="474"/>
    <n v="-3.2830048957090443"/>
    <n v="111.90000000000009"/>
    <n v="19.357250485744874"/>
    <n v="-27.84223449969306"/>
  </r>
  <r>
    <x v="476"/>
    <x v="0"/>
    <n v="2360"/>
    <n v="2374.6999999999998"/>
    <n v="2338.1999999999998"/>
    <n v="2350.9"/>
    <n v="2364.6999999999998"/>
    <n v="2363.6"/>
    <n v="2358.52"/>
    <n v="3242.65"/>
    <n v="2025"/>
    <x v="476"/>
    <x v="476"/>
    <x v="475"/>
    <n v="0.54021863966990591"/>
    <n v="36.5"/>
    <n v="16.155437219730942"/>
    <n v="-27.109000354648209"/>
  </r>
  <r>
    <x v="477"/>
    <x v="0"/>
    <n v="2370"/>
    <n v="2370"/>
    <n v="2316"/>
    <n v="2363.6"/>
    <n v="2333"/>
    <n v="2328.1999999999998"/>
    <n v="2333.4299999999998"/>
    <n v="3242.65"/>
    <n v="2025"/>
    <x v="477"/>
    <x v="477"/>
    <x v="476"/>
    <n v="-1.4977153494669189"/>
    <n v="54"/>
    <n v="15.688963847555833"/>
    <n v="-28.20070004471652"/>
  </r>
  <r>
    <x v="478"/>
    <x v="0"/>
    <n v="2333.9"/>
    <n v="2347.9"/>
    <n v="2296"/>
    <n v="2328.1999999999998"/>
    <n v="2300"/>
    <n v="2300.3000000000002"/>
    <n v="2311.6"/>
    <n v="3242.65"/>
    <n v="2025"/>
    <x v="478"/>
    <x v="478"/>
    <x v="477"/>
    <n v="-1.1983506571600224"/>
    <n v="51.900000000000091"/>
    <n v="17.944709626093875"/>
    <n v="-29.061107427566956"/>
  </r>
  <r>
    <x v="479"/>
    <x v="0"/>
    <n v="2290"/>
    <n v="2295"/>
    <n v="2202.8000000000002"/>
    <n v="2300.3000000000002"/>
    <n v="2245.9"/>
    <n v="2249.8000000000002"/>
    <n v="2244.12"/>
    <n v="3242.65"/>
    <n v="2025"/>
    <x v="479"/>
    <x v="479"/>
    <x v="478"/>
    <n v="-2.1953658218493239"/>
    <n v="92.199999999999818"/>
    <n v="21.127657517026069"/>
    <n v="-30.618475629500558"/>
  </r>
  <r>
    <x v="480"/>
    <x v="0"/>
    <n v="2247"/>
    <n v="2260.9"/>
    <n v="2164.8000000000002"/>
    <n v="2249.8000000000002"/>
    <n v="2179"/>
    <n v="2178.1"/>
    <n v="2185.27"/>
    <n v="3242.65"/>
    <n v="2025"/>
    <x v="480"/>
    <x v="480"/>
    <x v="479"/>
    <n v="-3.1869499511067767"/>
    <n v="96.099999999999909"/>
    <n v="25.268859566633342"/>
    <n v="-32.829630086503329"/>
  </r>
  <r>
    <x v="481"/>
    <x v="0"/>
    <n v="2196"/>
    <n v="2302"/>
    <n v="2183"/>
    <n v="2178.1"/>
    <n v="2270.1999999999998"/>
    <n v="2283.4"/>
    <n v="2257.64"/>
    <n v="3211"/>
    <n v="2025"/>
    <x v="481"/>
    <x v="481"/>
    <x v="480"/>
    <n v="4.8344887746200902"/>
    <n v="119"/>
    <n v="20.09170386904762"/>
    <n v="-28.888196823419491"/>
  </r>
  <r>
    <x v="482"/>
    <x v="0"/>
    <n v="2280.1"/>
    <n v="2314.6999999999998"/>
    <n v="2267"/>
    <n v="2283.4"/>
    <n v="2294.5"/>
    <n v="2288.1999999999998"/>
    <n v="2290.14"/>
    <n v="3211"/>
    <n v="2025"/>
    <x v="482"/>
    <x v="482"/>
    <x v="481"/>
    <n v="0.21021284050099531"/>
    <n v="47.699999999999818"/>
    <n v="17.42447954637505"/>
    <n v="-28.738710682030526"/>
  </r>
  <r>
    <x v="483"/>
    <x v="0"/>
    <n v="2299"/>
    <n v="2314.9"/>
    <n v="2245.4"/>
    <n v="2288.1999999999998"/>
    <n v="2287"/>
    <n v="2280.1"/>
    <n v="2278.92"/>
    <n v="3211"/>
    <n v="2025"/>
    <x v="148"/>
    <x v="483"/>
    <x v="482"/>
    <n v="-0.3539900358360244"/>
    <n v="69.5"/>
    <n v="19.663631860744864"/>
    <n v="-28.990968545624419"/>
  </r>
  <r>
    <x v="484"/>
    <x v="0"/>
    <n v="2288"/>
    <n v="2304"/>
    <n v="2267.6999999999998"/>
    <n v="2280.1"/>
    <n v="2280.1"/>
    <n v="2281.6"/>
    <n v="2285.6"/>
    <n v="3211"/>
    <n v="2025"/>
    <x v="483"/>
    <x v="484"/>
    <x v="483"/>
    <n v="6.5786588307530369E-2"/>
    <n v="36.300000000000182"/>
    <n v="25.31986301369863"/>
    <n v="-28.944254126440367"/>
  </r>
  <r>
    <x v="485"/>
    <x v="0"/>
    <n v="2309.6"/>
    <n v="2360"/>
    <n v="2300"/>
    <n v="2281.6"/>
    <n v="2325.5"/>
    <n v="2333.6"/>
    <n v="2339.34"/>
    <n v="3211"/>
    <n v="2025"/>
    <x v="484"/>
    <x v="485"/>
    <x v="484"/>
    <n v="2.2791023842917251"/>
    <n v="60"/>
    <n v="21.65434235023546"/>
    <n v="-27.324820928059797"/>
  </r>
  <r>
    <x v="486"/>
    <x v="0"/>
    <n v="2339.9"/>
    <n v="2395.6"/>
    <n v="2314.1"/>
    <n v="2333.6"/>
    <n v="2380.6999999999998"/>
    <n v="2388.4"/>
    <n v="2368.1799999999998"/>
    <n v="3211"/>
    <n v="2025"/>
    <x v="485"/>
    <x v="486"/>
    <x v="485"/>
    <n v="2.3483030510798848"/>
    <n v="81.5"/>
    <n v="18.290581333698199"/>
    <n v="-25.618187480535653"/>
  </r>
  <r>
    <x v="487"/>
    <x v="0"/>
    <n v="2380"/>
    <n v="2406"/>
    <n v="2372.1"/>
    <n v="2388.4"/>
    <n v="2391"/>
    <n v="2387.1"/>
    <n v="2389.9299999999998"/>
    <n v="3211"/>
    <n v="2025"/>
    <x v="486"/>
    <x v="487"/>
    <x v="486"/>
    <n v="-5.4429743761521598E-2"/>
    <n v="33.900000000000091"/>
    <n v="22.921686746987952"/>
    <n v="-25.658673310495178"/>
  </r>
  <r>
    <x v="488"/>
    <x v="0"/>
    <n v="2387.1"/>
    <n v="2397"/>
    <n v="2371.4"/>
    <n v="2387.1"/>
    <n v="2373"/>
    <n v="2377.1999999999998"/>
    <n v="2384.83"/>
    <n v="3211"/>
    <n v="2025"/>
    <x v="487"/>
    <x v="488"/>
    <x v="487"/>
    <n v="-0.41472916928491022"/>
    <n v="25.599999999999909"/>
    <n v="17.805012692912118"/>
    <n v="-25.966988477109943"/>
  </r>
  <r>
    <x v="489"/>
    <x v="0"/>
    <n v="2369.9"/>
    <n v="2376.3000000000002"/>
    <n v="2321"/>
    <n v="2377.1999999999998"/>
    <n v="2323"/>
    <n v="2324.9"/>
    <n v="2338.1799999999998"/>
    <n v="3211"/>
    <n v="2025"/>
    <x v="488"/>
    <x v="489"/>
    <x v="488"/>
    <n v="-2.2000673060743621"/>
    <n v="55.300000000000182"/>
    <n v="17.012055560408839"/>
    <n v="-27.595764559327307"/>
  </r>
  <r>
    <x v="490"/>
    <x v="0"/>
    <n v="2335.6999999999998"/>
    <n v="2348.4"/>
    <n v="2300"/>
    <n v="2324.9"/>
    <n v="2302.8000000000002"/>
    <n v="2302.9"/>
    <n v="2317.89"/>
    <n v="3211"/>
    <n v="2025"/>
    <x v="489"/>
    <x v="490"/>
    <x v="489"/>
    <n v="-0.94627725923695638"/>
    <n v="48.400000000000091"/>
    <n v="19.18361212292676"/>
    <n v="-28.280909374026781"/>
  </r>
  <r>
    <x v="491"/>
    <x v="0"/>
    <n v="2304"/>
    <n v="2309.3000000000002"/>
    <n v="2249.4"/>
    <n v="2302.9"/>
    <n v="2286"/>
    <n v="2272"/>
    <n v="2271.65"/>
    <n v="3211"/>
    <n v="2025"/>
    <x v="490"/>
    <x v="491"/>
    <x v="490"/>
    <n v="-1.3417864431803417"/>
    <n v="59.900000000000091"/>
    <n v="21.669801209326781"/>
    <n v="-29.243226409218316"/>
  </r>
  <r>
    <x v="492"/>
    <x v="0"/>
    <n v="2271.9"/>
    <n v="2327.9"/>
    <n v="2255"/>
    <n v="2272"/>
    <n v="2282.1"/>
    <n v="2275.1999999999998"/>
    <n v="2295.19"/>
    <n v="3211"/>
    <n v="2025"/>
    <x v="491"/>
    <x v="492"/>
    <x v="491"/>
    <n v="0.1408450704225272"/>
    <n v="72.900000000000091"/>
    <n v="16.409131165615342"/>
    <n v="-29.143568981625666"/>
  </r>
  <r>
    <x v="493"/>
    <x v="0"/>
    <n v="2283"/>
    <n v="2289.6999999999998"/>
    <n v="2240"/>
    <n v="2275.1999999999998"/>
    <n v="2247.9"/>
    <n v="2244.6999999999998"/>
    <n v="2257.7199999999998"/>
    <n v="3211"/>
    <n v="2025"/>
    <x v="492"/>
    <x v="493"/>
    <x v="492"/>
    <n v="-1.3405414908579467"/>
    <n v="49.699999999999818"/>
    <n v="15.84521178087102"/>
    <n v="-30.093428838368112"/>
  </r>
  <r>
    <x v="494"/>
    <x v="0"/>
    <n v="2259"/>
    <n v="2288"/>
    <n v="2252.1"/>
    <n v="2244.6999999999998"/>
    <n v="2286.6"/>
    <n v="2284.1999999999998"/>
    <n v="2274.83"/>
    <n v="3211"/>
    <n v="2025"/>
    <x v="493"/>
    <x v="494"/>
    <x v="493"/>
    <n v="1.7597006281463003"/>
    <n v="35.900000000000091"/>
    <n v="14.42746254491221"/>
    <n v="-28.863282466521341"/>
  </r>
  <r>
    <x v="495"/>
    <x v="0"/>
    <n v="2291"/>
    <n v="2302"/>
    <n v="2264"/>
    <n v="2284.1999999999998"/>
    <n v="2278"/>
    <n v="2274.1999999999998"/>
    <n v="2283.41"/>
    <n v="3211"/>
    <n v="2025"/>
    <x v="494"/>
    <x v="495"/>
    <x v="494"/>
    <n v="-0.43779003589878296"/>
    <n v="38"/>
    <n v="12.715216760336684"/>
    <n v="-29.174711927748369"/>
  </r>
  <r>
    <x v="496"/>
    <x v="0"/>
    <n v="2285"/>
    <n v="2293"/>
    <n v="2263.1"/>
    <n v="2274.1999999999998"/>
    <n v="2292"/>
    <n v="2288.6999999999998"/>
    <n v="2279.5"/>
    <n v="3211"/>
    <n v="2025"/>
    <x v="495"/>
    <x v="496"/>
    <x v="495"/>
    <n v="0.63758684372526608"/>
    <n v="29.900000000000091"/>
    <n v="15.41823932158621"/>
    <n v="-28.723139208969172"/>
  </r>
  <r>
    <x v="497"/>
    <x v="0"/>
    <n v="2309.9"/>
    <n v="2317.3000000000002"/>
    <n v="2275"/>
    <n v="2288.6999999999998"/>
    <n v="2280"/>
    <n v="2278.8000000000002"/>
    <n v="2291.33"/>
    <n v="3211"/>
    <n v="2025"/>
    <x v="496"/>
    <x v="497"/>
    <x v="496"/>
    <n v="-0.43255996854107737"/>
    <n v="42.300000000000182"/>
    <n v="13.128410002674512"/>
    <n v="-29.031454375583927"/>
  </r>
  <r>
    <x v="498"/>
    <x v="0"/>
    <n v="2275"/>
    <n v="2293.5"/>
    <n v="2248"/>
    <n v="2278.8000000000002"/>
    <n v="2282.5"/>
    <n v="2281.4"/>
    <n v="2273.81"/>
    <n v="3211"/>
    <n v="2025"/>
    <x v="497"/>
    <x v="498"/>
    <x v="497"/>
    <n v="0.11409513779181625"/>
    <n v="45.5"/>
    <n v="15.767724943052391"/>
    <n v="-28.950482715664901"/>
  </r>
  <r>
    <x v="499"/>
    <x v="0"/>
    <n v="2290"/>
    <n v="2333.9"/>
    <n v="2286"/>
    <n v="2281.4"/>
    <n v="2319"/>
    <n v="2310.9"/>
    <n v="2317.98"/>
    <n v="3211"/>
    <n v="2025"/>
    <x v="498"/>
    <x v="499"/>
    <x v="498"/>
    <n v="1.2930656614359604"/>
    <n v="47.900000000000091"/>
    <n v="16.172416875223455"/>
    <n v="-28.031765805045154"/>
  </r>
  <r>
    <x v="500"/>
    <x v="0"/>
    <n v="2320"/>
    <n v="2325"/>
    <n v="2297"/>
    <n v="2310.9"/>
    <n v="2313.8000000000002"/>
    <n v="2311.6"/>
    <n v="2312.02"/>
    <n v="3211"/>
    <n v="2025"/>
    <x v="499"/>
    <x v="500"/>
    <x v="499"/>
    <n v="3.0291228525674761E-2"/>
    <n v="28"/>
    <n v="14.317921091388264"/>
    <n v="-28.00996574275927"/>
  </r>
  <r>
    <x v="501"/>
    <x v="0"/>
    <n v="2330"/>
    <n v="2345.9"/>
    <n v="2325.1"/>
    <n v="2311.6"/>
    <n v="2340.8000000000002"/>
    <n v="2340.1999999999998"/>
    <n v="2337.73"/>
    <n v="3211"/>
    <n v="2025"/>
    <x v="500"/>
    <x v="501"/>
    <x v="500"/>
    <n v="1.2372382765184249"/>
    <n v="20.800000000000182"/>
    <n v="14.948702243319808"/>
    <n v="-27.119277483649963"/>
  </r>
  <r>
    <x v="502"/>
    <x v="0"/>
    <n v="2348"/>
    <n v="2418.6999999999998"/>
    <n v="2340.1999999999998"/>
    <n v="2340.1999999999998"/>
    <n v="2408"/>
    <n v="2398.8000000000002"/>
    <n v="2394.0300000000002"/>
    <n v="3211"/>
    <n v="2025"/>
    <x v="501"/>
    <x v="502"/>
    <x v="501"/>
    <n v="2.5040594820955633"/>
    <n v="78.5"/>
    <n v="23.009075557008227"/>
    <n v="-25.294300840859542"/>
  </r>
  <r>
    <x v="503"/>
    <x v="0"/>
    <n v="2416.9"/>
    <n v="2421.6"/>
    <n v="2387.1"/>
    <n v="2398.8000000000002"/>
    <n v="2389"/>
    <n v="2392"/>
    <n v="2403.9499999999998"/>
    <n v="3211"/>
    <n v="2025"/>
    <x v="502"/>
    <x v="503"/>
    <x v="502"/>
    <n v="-0.28347507086877527"/>
    <n v="34.5"/>
    <n v="19.326468565637555"/>
    <n v="-25.506072874493928"/>
  </r>
  <r>
    <x v="504"/>
    <x v="0"/>
    <n v="2392"/>
    <n v="2402.8000000000002"/>
    <n v="2378.1"/>
    <n v="2392"/>
    <n v="2381"/>
    <n v="2383.4"/>
    <n v="2389.59"/>
    <n v="3211"/>
    <n v="2025"/>
    <x v="503"/>
    <x v="504"/>
    <x v="503"/>
    <n v="-0.35953177257524704"/>
    <n v="24.700000000000273"/>
    <n v="14.841887788121671"/>
    <n v="-25.773902211149174"/>
  </r>
  <r>
    <x v="505"/>
    <x v="0"/>
    <n v="2410"/>
    <n v="2415.8000000000002"/>
    <n v="2388"/>
    <n v="2383.4"/>
    <n v="2401"/>
    <n v="2399.4"/>
    <n v="2398.04"/>
    <n v="3211"/>
    <n v="2025"/>
    <x v="504"/>
    <x v="505"/>
    <x v="504"/>
    <n v="0.67130989342955438"/>
    <n v="27.800000000000182"/>
    <n v="22.675309422712079"/>
    <n v="-25.275615073185918"/>
  </r>
  <r>
    <x v="506"/>
    <x v="0"/>
    <n v="2417"/>
    <n v="2417"/>
    <n v="2391"/>
    <n v="2399.4"/>
    <n v="2408"/>
    <n v="2402"/>
    <n v="2402.5"/>
    <n v="3211"/>
    <n v="2025"/>
    <x v="505"/>
    <x v="506"/>
    <x v="505"/>
    <n v="0.10836042343918935"/>
    <n v="26"/>
    <n v="16.969219095377916"/>
    <n v="-25.194643413266892"/>
  </r>
  <r>
    <x v="507"/>
    <x v="0"/>
    <n v="2414.5"/>
    <n v="2438"/>
    <n v="2388.4"/>
    <n v="2402"/>
    <n v="2402"/>
    <n v="2402"/>
    <n v="2409.5500000000002"/>
    <n v="3211"/>
    <n v="2025"/>
    <x v="506"/>
    <x v="507"/>
    <x v="506"/>
    <n v="0"/>
    <n v="49.599999999999909"/>
    <n v="19.877132527398032"/>
    <n v="-25.194643413266892"/>
  </r>
  <r>
    <x v="508"/>
    <x v="0"/>
    <n v="2495"/>
    <n v="2579"/>
    <n v="2466.1"/>
    <n v="2402"/>
    <n v="2528"/>
    <n v="2524"/>
    <n v="2520.0100000000002"/>
    <n v="3211"/>
    <n v="2025"/>
    <x v="507"/>
    <x v="508"/>
    <x v="507"/>
    <n v="5.0791007493755203"/>
    <n v="112.90000000000009"/>
    <n v="33.372025792179386"/>
    <n v="-21.395203986297105"/>
  </r>
  <r>
    <x v="509"/>
    <x v="0"/>
    <n v="2535"/>
    <n v="2659"/>
    <n v="2522.1"/>
    <n v="2524"/>
    <n v="2624.5"/>
    <n v="2629.5"/>
    <n v="2615.4899999999998"/>
    <n v="3211"/>
    <n v="2025"/>
    <x v="508"/>
    <x v="509"/>
    <x v="508"/>
    <n v="4.1798732171156896"/>
    <n v="136.90000000000009"/>
    <n v="35.010244369335688"/>
    <n v="-18.109623170351917"/>
  </r>
  <r>
    <x v="510"/>
    <x v="0"/>
    <n v="2642.6"/>
    <n v="2695"/>
    <n v="2593"/>
    <n v="2629.5"/>
    <n v="2666"/>
    <n v="2676.4"/>
    <n v="2665.79"/>
    <n v="3211"/>
    <n v="2025"/>
    <x v="509"/>
    <x v="510"/>
    <x v="509"/>
    <n v="1.7836090511504124"/>
    <n v="102"/>
    <n v="33.525493617631589"/>
    <n v="-16.649018997197132"/>
  </r>
  <r>
    <x v="511"/>
    <x v="0"/>
    <n v="2655"/>
    <n v="2676"/>
    <n v="2614.4"/>
    <n v="2676.4"/>
    <n v="2624"/>
    <n v="2619.8000000000002"/>
    <n v="2647.88"/>
    <n v="3211"/>
    <n v="2025"/>
    <x v="510"/>
    <x v="511"/>
    <x v="510"/>
    <n v="-2.1147810491705243"/>
    <n v="61.599999999999909"/>
    <n v="28.316356754977786"/>
    <n v="-18.41170974774213"/>
  </r>
  <r>
    <x v="512"/>
    <x v="0"/>
    <n v="2625"/>
    <n v="2647.9"/>
    <n v="2567"/>
    <n v="2619.8000000000002"/>
    <n v="2573.3000000000002"/>
    <n v="2576.4"/>
    <n v="2608.3200000000002"/>
    <n v="3211"/>
    <n v="2025"/>
    <x v="511"/>
    <x v="512"/>
    <x v="511"/>
    <n v="-1.6566150087792992"/>
    <n v="80.900000000000091"/>
    <n v="29.55718253968254"/>
    <n v="-19.763313609467453"/>
  </r>
  <r>
    <x v="513"/>
    <x v="0"/>
    <n v="2572.8000000000002"/>
    <n v="2605"/>
    <n v="2535"/>
    <n v="2576.4"/>
    <n v="2535.6"/>
    <n v="2543.6999999999998"/>
    <n v="2570.86"/>
    <n v="3211"/>
    <n v="2025"/>
    <x v="512"/>
    <x v="513"/>
    <x v="512"/>
    <n v="-1.2692128551467268"/>
    <n v="70"/>
    <n v="22.351137146795313"/>
    <n v="-20.781687947679856"/>
  </r>
  <r>
    <x v="514"/>
    <x v="0"/>
    <n v="2543.6999999999998"/>
    <n v="2555"/>
    <n v="2505"/>
    <n v="2543.6999999999998"/>
    <n v="2521"/>
    <n v="2509.5"/>
    <n v="2528.21"/>
    <n v="3211"/>
    <n v="2025"/>
    <x v="513"/>
    <x v="514"/>
    <x v="513"/>
    <n v="-1.3444981719542328"/>
    <n v="50"/>
    <n v="20.995914473547771"/>
    <n v="-21.846776705076302"/>
  </r>
  <r>
    <x v="515"/>
    <x v="0"/>
    <n v="2522"/>
    <n v="2535"/>
    <n v="2490.6"/>
    <n v="2509.5"/>
    <n v="2509"/>
    <n v="2505.9"/>
    <n v="2512.9699999999998"/>
    <n v="3211"/>
    <n v="2025"/>
    <x v="514"/>
    <x v="515"/>
    <x v="514"/>
    <n v="-0.14345487148834069"/>
    <n v="44.400000000000091"/>
    <n v="18.52765138711942"/>
    <n v="-21.958891311118027"/>
  </r>
  <r>
    <x v="516"/>
    <x v="0"/>
    <n v="2518.4"/>
    <n v="2603.4"/>
    <n v="2472.1"/>
    <n v="2505.9"/>
    <n v="2594.3000000000002"/>
    <n v="2592.6999999999998"/>
    <n v="2534.6999999999998"/>
    <n v="3211"/>
    <n v="2025"/>
    <x v="515"/>
    <x v="516"/>
    <x v="515"/>
    <n v="3.4638253721217813"/>
    <n v="131.30000000000018"/>
    <n v="27.254988567865308"/>
    <n v="-19.255683587667399"/>
  </r>
  <r>
    <x v="517"/>
    <x v="0"/>
    <n v="2595"/>
    <n v="2612.9"/>
    <n v="2564.4"/>
    <n v="2592.6999999999998"/>
    <n v="2586.1"/>
    <n v="2589.9"/>
    <n v="2588.4899999999998"/>
    <n v="3211"/>
    <n v="2025"/>
    <x v="516"/>
    <x v="517"/>
    <x v="516"/>
    <n v="-0.10799552589963078"/>
    <n v="48.5"/>
    <n v="24.230328474862695"/>
    <n v="-19.342883836810959"/>
  </r>
  <r>
    <x v="518"/>
    <x v="0"/>
    <n v="2589.1"/>
    <n v="2599.8000000000002"/>
    <n v="2562.6"/>
    <n v="2589.9"/>
    <n v="2573"/>
    <n v="2573.5"/>
    <n v="2575.41"/>
    <n v="3211"/>
    <n v="2025"/>
    <x v="517"/>
    <x v="518"/>
    <x v="517"/>
    <n v="-0.63322908220394958"/>
    <n v="37.200000000000273"/>
    <n v="22.535698310566701"/>
    <n v="-19.853628153223298"/>
  </r>
  <r>
    <x v="519"/>
    <x v="0"/>
    <n v="2580.6999999999998"/>
    <n v="2617.3000000000002"/>
    <n v="2533.1"/>
    <n v="2573.5"/>
    <n v="2556.5"/>
    <n v="2542.1999999999998"/>
    <n v="2579.42"/>
    <n v="3211"/>
    <n v="2025"/>
    <x v="518"/>
    <x v="519"/>
    <x v="518"/>
    <n v="-1.2162424713425368"/>
    <n v="84.200000000000273"/>
    <n v="22.988036362890153"/>
    <n v="-20.828402366863909"/>
  </r>
  <r>
    <x v="520"/>
    <x v="0"/>
    <n v="2562"/>
    <n v="2565"/>
    <n v="2500"/>
    <n v="2542.1999999999998"/>
    <n v="2525"/>
    <n v="2524.1"/>
    <n v="2524.6799999999998"/>
    <n v="3211"/>
    <n v="2025"/>
    <x v="519"/>
    <x v="520"/>
    <x v="519"/>
    <n v="-0.71198174809220005"/>
    <n v="65"/>
    <n v="26.066504878168359"/>
    <n v="-21.392089691684838"/>
  </r>
  <r>
    <x v="521"/>
    <x v="0"/>
    <n v="2535"/>
    <n v="2559"/>
    <n v="2522.1999999999998"/>
    <n v="2524.1"/>
    <n v="2547"/>
    <n v="2542.4"/>
    <n v="2544.7399999999998"/>
    <n v="3211"/>
    <n v="2025"/>
    <x v="520"/>
    <x v="521"/>
    <x v="520"/>
    <n v="0.72501089497247262"/>
    <n v="36.800000000000182"/>
    <n v="22.793991116085483"/>
    <n v="-20.82217377763936"/>
  </r>
  <r>
    <x v="522"/>
    <x v="0"/>
    <n v="2552"/>
    <n v="2565"/>
    <n v="2538.8000000000002"/>
    <n v="2542.4"/>
    <n v="2542.1"/>
    <n v="2550.9"/>
    <n v="2552.39"/>
    <n v="3211"/>
    <n v="2025"/>
    <x v="521"/>
    <x v="522"/>
    <x v="521"/>
    <n v="0.33432976714915041"/>
    <n v="26.199999999999818"/>
    <n v="22.429783223374177"/>
    <n v="-20.557458735596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420865-C948-4EE2-8C5E-FAFFCA2761B0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D5" firstHeaderRow="0" firstDataRow="1" firstDataCol="1"/>
  <pivotFields count="21">
    <pivotField numFmtId="15" showAll="0">
      <items count="5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t="default"/>
      </items>
    </pivotField>
    <pivotField showAll="0">
      <items count="2">
        <item x="0"/>
        <item t="default"/>
      </items>
    </pivotField>
    <pivotField numFmtId="4" showAll="0"/>
    <pivotField numFmtId="4" showAll="0"/>
    <pivotField numFmtId="4" showAll="0"/>
    <pivotField numFmtId="4" showAll="0"/>
    <pivotField numFmtId="4" showAll="0"/>
    <pivotField dataField="1" numFmtId="4" showAll="0"/>
    <pivotField numFmtId="4" showAll="0"/>
    <pivotField numFmtId="4" showAll="0"/>
    <pivotField numFmtId="4" showAll="0"/>
    <pivotField axis="axisRow" showAll="0">
      <items count="523">
        <item x="174"/>
        <item x="232"/>
        <item x="124"/>
        <item x="57"/>
        <item x="306"/>
        <item x="47"/>
        <item x="305"/>
        <item x="63"/>
        <item x="82"/>
        <item x="397"/>
        <item x="415"/>
        <item x="431"/>
        <item x="386"/>
        <item x="513"/>
        <item x="413"/>
        <item x="333"/>
        <item x="215"/>
        <item x="262"/>
        <item x="393"/>
        <item x="216"/>
        <item x="383"/>
        <item x="368"/>
        <item x="347"/>
        <item x="274"/>
        <item x="151"/>
        <item x="222"/>
        <item x="512"/>
        <item x="342"/>
        <item x="379"/>
        <item x="280"/>
        <item x="401"/>
        <item x="206"/>
        <item x="290"/>
        <item x="125"/>
        <item x="319"/>
        <item x="519"/>
        <item x="485"/>
        <item x="490"/>
        <item x="46"/>
        <item x="482"/>
        <item x="16"/>
        <item x="388"/>
        <item x="109"/>
        <item x="366"/>
        <item x="385"/>
        <item x="220"/>
        <item x="314"/>
        <item x="518"/>
        <item x="332"/>
        <item x="341"/>
        <item x="120"/>
        <item x="21"/>
        <item x="152"/>
        <item x="364"/>
        <item x="117"/>
        <item x="399"/>
        <item x="344"/>
        <item x="205"/>
        <item x="144"/>
        <item x="208"/>
        <item x="38"/>
        <item x="324"/>
        <item x="288"/>
        <item x="123"/>
        <item x="330"/>
        <item x="31"/>
        <item x="44"/>
        <item x="137"/>
        <item x="321"/>
        <item x="126"/>
        <item x="130"/>
        <item x="11"/>
        <item x="365"/>
        <item x="343"/>
        <item x="281"/>
        <item x="248"/>
        <item x="14"/>
        <item x="8"/>
        <item x="394"/>
        <item x="396"/>
        <item x="110"/>
        <item x="234"/>
        <item x="32"/>
        <item x="312"/>
        <item x="36"/>
        <item x="54"/>
        <item x="250"/>
        <item x="165"/>
        <item x="45"/>
        <item x="282"/>
        <item x="12"/>
        <item x="293"/>
        <item x="142"/>
        <item x="50"/>
        <item x="268"/>
        <item x="242"/>
        <item x="254"/>
        <item x="322"/>
        <item x="449"/>
        <item x="122"/>
        <item x="121"/>
        <item x="196"/>
        <item x="267"/>
        <item x="374"/>
        <item x="247"/>
        <item x="240"/>
        <item x="239"/>
        <item x="238"/>
        <item x="414"/>
        <item x="285"/>
        <item x="346"/>
        <item x="363"/>
        <item x="145"/>
        <item x="90"/>
        <item x="23"/>
        <item x="406"/>
        <item x="336"/>
        <item x="195"/>
        <item x="339"/>
        <item x="149"/>
        <item x="218"/>
        <item x="474"/>
        <item x="135"/>
        <item x="115"/>
        <item x="163"/>
        <item x="33"/>
        <item x="167"/>
        <item x="511"/>
        <item x="204"/>
        <item x="79"/>
        <item x="22"/>
        <item x="75"/>
        <item x="158"/>
        <item x="251"/>
        <item x="412"/>
        <item x="479"/>
        <item x="286"/>
        <item x="367"/>
        <item x="34"/>
        <item x="9"/>
        <item x="264"/>
        <item x="419"/>
        <item x="337"/>
        <item x="395"/>
        <item x="243"/>
        <item x="108"/>
        <item x="515"/>
        <item x="52"/>
        <item x="372"/>
        <item x="266"/>
        <item x="180"/>
        <item x="25"/>
        <item x="241"/>
        <item x="420"/>
        <item x="223"/>
        <item x="156"/>
        <item x="259"/>
        <item x="116"/>
        <item x="39"/>
        <item x="292"/>
        <item x="107"/>
        <item x="171"/>
        <item x="18"/>
        <item x="199"/>
        <item x="119"/>
        <item x="389"/>
        <item x="77"/>
        <item x="153"/>
        <item x="436"/>
        <item x="510"/>
        <item x="154"/>
        <item x="111"/>
        <item x="72"/>
        <item x="270"/>
        <item x="194"/>
        <item x="24"/>
        <item x="271"/>
        <item x="114"/>
        <item x="7"/>
        <item x="260"/>
        <item x="60"/>
        <item x="89"/>
        <item x="26"/>
        <item x="417"/>
        <item x="96"/>
        <item x="172"/>
        <item x="390"/>
        <item x="53"/>
        <item x="246"/>
        <item x="85"/>
        <item x="41"/>
        <item x="244"/>
        <item x="229"/>
        <item x="95"/>
        <item x="181"/>
        <item x="360"/>
        <item x="127"/>
        <item x="317"/>
        <item x="221"/>
        <item x="56"/>
        <item x="284"/>
        <item x="410"/>
        <item x="118"/>
        <item x="326"/>
        <item x="182"/>
        <item x="185"/>
        <item x="302"/>
        <item x="301"/>
        <item x="62"/>
        <item x="469"/>
        <item x="473"/>
        <item x="503"/>
        <item x="88"/>
        <item x="351"/>
        <item x="94"/>
        <item x="67"/>
        <item x="19"/>
        <item x="112"/>
        <item x="76"/>
        <item x="105"/>
        <item x="437"/>
        <item x="106"/>
        <item x="501"/>
        <item x="228"/>
        <item x="230"/>
        <item x="200"/>
        <item x="416"/>
        <item x="104"/>
        <item x="233"/>
        <item x="113"/>
        <item x="133"/>
        <item x="162"/>
        <item x="17"/>
        <item x="35"/>
        <item x="227"/>
        <item x="27"/>
        <item x="265"/>
        <item x="71"/>
        <item x="141"/>
        <item x="40"/>
        <item x="310"/>
        <item x="168"/>
        <item x="371"/>
        <item x="481"/>
        <item x="164"/>
        <item x="224"/>
        <item x="91"/>
        <item x="362"/>
        <item x="361"/>
        <item x="93"/>
        <item x="480"/>
        <item x="316"/>
        <item x="179"/>
        <item x="384"/>
        <item x="350"/>
        <item x="98"/>
        <item x="278"/>
        <item x="101"/>
        <item x="81"/>
        <item x="74"/>
        <item x="103"/>
        <item x="328"/>
        <item x="68"/>
        <item x="340"/>
        <item x="20"/>
        <item x="329"/>
        <item x="287"/>
        <item x="86"/>
        <item x="92"/>
        <item x="80"/>
        <item x="273"/>
        <item x="83"/>
        <item x="59"/>
        <item x="289"/>
        <item x="459"/>
        <item x="468"/>
        <item x="457"/>
        <item x="499"/>
        <item x="466"/>
        <item x="455"/>
        <item x="276"/>
        <item x="462"/>
        <item x="467"/>
        <item x="500"/>
        <item x="460"/>
        <item x="496"/>
        <item x="458"/>
        <item x="445"/>
        <item x="191"/>
        <item x="134"/>
        <item x="175"/>
        <item x="100"/>
        <item x="192"/>
        <item x="84"/>
        <item x="69"/>
        <item x="198"/>
        <item x="311"/>
        <item x="226"/>
        <item x="176"/>
        <item x="131"/>
        <item x="73"/>
        <item x="178"/>
        <item x="245"/>
        <item x="87"/>
        <item x="132"/>
        <item x="169"/>
        <item x="308"/>
        <item x="456"/>
        <item x="470"/>
        <item x="472"/>
        <item x="493"/>
        <item x="471"/>
        <item x="275"/>
        <item x="487"/>
        <item x="497"/>
        <item x="495"/>
        <item x="465"/>
        <item x="494"/>
        <item x="299"/>
        <item x="450"/>
        <item x="309"/>
        <item x="78"/>
        <item x="338"/>
        <item x="190"/>
        <item x="193"/>
        <item x="411"/>
        <item x="3"/>
        <item x="99"/>
        <item x="58"/>
        <item x="102"/>
        <item x="197"/>
        <item x="188"/>
        <item x="359"/>
        <item x="70"/>
        <item x="189"/>
        <item x="391"/>
        <item x="454"/>
        <item x="505"/>
        <item x="427"/>
        <item x="423"/>
        <item x="502"/>
        <item x="300"/>
        <item x="461"/>
        <item x="489"/>
        <item x="498"/>
        <item x="277"/>
        <item x="433"/>
        <item x="426"/>
        <item x="236"/>
        <item x="355"/>
        <item x="392"/>
        <item x="428"/>
        <item x="476"/>
        <item x="477"/>
        <item x="147"/>
        <item x="295"/>
        <item x="488"/>
        <item x="210"/>
        <item x="405"/>
        <item x="296"/>
        <item x="66"/>
        <item x="201"/>
        <item x="509"/>
        <item x="4"/>
        <item x="6"/>
        <item x="61"/>
        <item x="170"/>
        <item x="97"/>
        <item x="187"/>
        <item x="0"/>
        <item x="157"/>
        <item x="453"/>
        <item x="422"/>
        <item x="478"/>
        <item x="435"/>
        <item x="43"/>
        <item x="298"/>
        <item x="160"/>
        <item x="520"/>
        <item x="318"/>
        <item x="517"/>
        <item x="217"/>
        <item x="237"/>
        <item x="159"/>
        <item x="207"/>
        <item x="443"/>
        <item x="408"/>
        <item x="404"/>
        <item x="434"/>
        <item x="356"/>
        <item x="421"/>
        <item x="407"/>
        <item x="430"/>
        <item x="463"/>
        <item x="444"/>
        <item x="521"/>
        <item x="354"/>
        <item x="219"/>
        <item x="451"/>
        <item x="256"/>
        <item x="440"/>
        <item x="49"/>
        <item x="257"/>
        <item x="15"/>
        <item x="225"/>
        <item x="64"/>
        <item x="183"/>
        <item x="1"/>
        <item x="65"/>
        <item x="177"/>
        <item x="442"/>
        <item x="506"/>
        <item x="150"/>
        <item x="335"/>
        <item x="29"/>
        <item x="514"/>
        <item x="315"/>
        <item x="213"/>
        <item x="55"/>
        <item x="452"/>
        <item x="249"/>
        <item x="129"/>
        <item x="358"/>
        <item x="438"/>
        <item x="380"/>
        <item x="291"/>
        <item x="504"/>
        <item x="146"/>
        <item x="212"/>
        <item x="323"/>
        <item x="231"/>
        <item x="387"/>
        <item x="403"/>
        <item x="42"/>
        <item x="418"/>
        <item x="30"/>
        <item x="486"/>
        <item x="402"/>
        <item x="349"/>
        <item x="464"/>
        <item x="446"/>
        <item x="492"/>
        <item x="279"/>
        <item x="508"/>
        <item x="2"/>
        <item x="303"/>
        <item x="304"/>
        <item x="327"/>
        <item x="507"/>
        <item x="369"/>
        <item x="429"/>
        <item x="252"/>
        <item x="28"/>
        <item x="161"/>
        <item x="255"/>
        <item x="376"/>
        <item x="353"/>
        <item x="173"/>
        <item x="345"/>
        <item x="258"/>
        <item x="203"/>
        <item x="148"/>
        <item x="294"/>
        <item x="409"/>
        <item x="373"/>
        <item x="48"/>
        <item x="128"/>
        <item x="10"/>
        <item x="13"/>
        <item x="143"/>
        <item x="382"/>
        <item x="334"/>
        <item x="253"/>
        <item x="400"/>
        <item x="297"/>
        <item x="375"/>
        <item x="357"/>
        <item x="325"/>
        <item x="261"/>
        <item x="272"/>
        <item x="211"/>
        <item x="307"/>
        <item x="184"/>
        <item x="186"/>
        <item x="140"/>
        <item x="424"/>
        <item x="491"/>
        <item x="263"/>
        <item x="51"/>
        <item x="516"/>
        <item x="448"/>
        <item x="209"/>
        <item x="381"/>
        <item x="331"/>
        <item x="139"/>
        <item x="377"/>
        <item x="370"/>
        <item x="283"/>
        <item x="378"/>
        <item x="166"/>
        <item x="138"/>
        <item x="439"/>
        <item x="441"/>
        <item x="313"/>
        <item x="202"/>
        <item x="432"/>
        <item x="136"/>
        <item x="348"/>
        <item x="425"/>
        <item x="235"/>
        <item x="475"/>
        <item x="398"/>
        <item x="352"/>
        <item x="269"/>
        <item x="214"/>
        <item x="484"/>
        <item x="320"/>
        <item x="155"/>
        <item x="447"/>
        <item x="37"/>
        <item x="483"/>
        <item x="5"/>
        <item t="default"/>
      </items>
    </pivotField>
    <pivotField showAll="0">
      <items count="524">
        <item x="460"/>
        <item x="467"/>
        <item x="498"/>
        <item x="496"/>
        <item x="458"/>
        <item x="488"/>
        <item x="456"/>
        <item x="472"/>
        <item x="471"/>
        <item x="470"/>
        <item x="495"/>
        <item x="276"/>
        <item x="391"/>
        <item x="506"/>
        <item x="465"/>
        <item x="490"/>
        <item x="499"/>
        <item x="503"/>
        <item x="355"/>
        <item x="427"/>
        <item x="454"/>
        <item x="423"/>
        <item x="477"/>
        <item x="392"/>
        <item x="476"/>
        <item x="275"/>
        <item x="489"/>
        <item x="433"/>
        <item x="461"/>
        <item x="299"/>
        <item x="426"/>
        <item x="43"/>
        <item x="405"/>
        <item x="428"/>
        <item x="478"/>
        <item x="300"/>
        <item x="49"/>
        <item x="356"/>
        <item x="408"/>
        <item x="354"/>
        <item x="55"/>
        <item x="422"/>
        <item x="407"/>
        <item x="435"/>
        <item x="453"/>
        <item x="404"/>
        <item x="443"/>
        <item x="318"/>
        <item x="521"/>
        <item x="444"/>
        <item x="277"/>
        <item x="380"/>
        <item x="518"/>
        <item x="434"/>
        <item x="507"/>
        <item x="358"/>
        <item x="295"/>
        <item x="369"/>
        <item x="29"/>
        <item x="42"/>
        <item x="296"/>
        <item x="15"/>
        <item x="430"/>
        <item x="236"/>
        <item x="421"/>
        <item x="440"/>
        <item x="315"/>
        <item x="335"/>
        <item x="442"/>
        <item x="522"/>
        <item x="323"/>
        <item x="387"/>
        <item x="515"/>
        <item x="463"/>
        <item x="493"/>
        <item x="505"/>
        <item x="349"/>
        <item x="210"/>
        <item x="373"/>
        <item x="451"/>
        <item x="298"/>
        <item x="376"/>
        <item x="353"/>
        <item x="147"/>
        <item x="157"/>
        <item x="487"/>
        <item x="30"/>
        <item x="403"/>
        <item x="48"/>
        <item x="483"/>
        <item x="402"/>
        <item x="418"/>
        <item x="452"/>
        <item x="438"/>
        <item x="409"/>
        <item x="446"/>
        <item x="28"/>
        <item x="345"/>
        <item x="217"/>
        <item x="160"/>
        <item x="370"/>
        <item x="131"/>
        <item x="309"/>
        <item x="411"/>
        <item x="192"/>
        <item x="198"/>
        <item x="176"/>
        <item x="245"/>
        <item x="226"/>
        <item x="450"/>
        <item x="169"/>
        <item x="3"/>
        <item x="87"/>
        <item x="58"/>
        <item x="132"/>
        <item x="359"/>
        <item x="78"/>
        <item x="178"/>
        <item x="99"/>
        <item x="190"/>
        <item x="193"/>
        <item x="4"/>
        <item x="61"/>
        <item x="6"/>
        <item x="66"/>
        <item x="70"/>
        <item x="0"/>
        <item x="102"/>
        <item x="510"/>
        <item x="197"/>
        <item x="188"/>
        <item x="189"/>
        <item x="1"/>
        <item x="201"/>
        <item x="97"/>
        <item x="304"/>
        <item x="303"/>
        <item x="170"/>
        <item x="64"/>
        <item x="509"/>
        <item x="2"/>
        <item x="187"/>
        <item x="225"/>
        <item x="65"/>
        <item x="327"/>
        <item x="375"/>
        <item x="382"/>
        <item x="51"/>
        <item x="429"/>
        <item x="237"/>
        <item x="159"/>
        <item x="464"/>
        <item x="219"/>
        <item x="257"/>
        <item x="492"/>
        <item x="256"/>
        <item x="207"/>
        <item x="357"/>
        <item x="381"/>
        <item x="377"/>
        <item x="378"/>
        <item x="325"/>
        <item x="400"/>
        <item x="13"/>
        <item x="10"/>
        <item x="291"/>
        <item x="368"/>
        <item x="348"/>
        <item x="334"/>
        <item x="249"/>
        <item x="213"/>
        <item x="397"/>
        <item x="424"/>
        <item x="415"/>
        <item x="352"/>
        <item x="150"/>
        <item x="398"/>
        <item x="37"/>
        <item x="484"/>
        <item x="485"/>
        <item x="212"/>
        <item x="448"/>
        <item x="475"/>
        <item x="379"/>
        <item x="347"/>
        <item x="46"/>
        <item x="517"/>
        <item x="366"/>
        <item x="413"/>
        <item x="129"/>
        <item x="432"/>
        <item x="279"/>
        <item x="252"/>
        <item x="383"/>
        <item x="313"/>
        <item x="386"/>
        <item x="331"/>
        <item x="441"/>
        <item x="255"/>
        <item x="231"/>
        <item x="146"/>
        <item x="491"/>
        <item x="320"/>
        <item x="439"/>
        <item x="425"/>
        <item x="393"/>
        <item x="258"/>
        <item x="294"/>
        <item x="482"/>
        <item x="161"/>
        <item x="364"/>
        <item x="447"/>
        <item x="388"/>
        <item x="173"/>
        <item x="342"/>
        <item x="297"/>
        <item x="486"/>
        <item x="401"/>
        <item x="431"/>
        <item x="333"/>
        <item x="514"/>
        <item x="385"/>
        <item x="253"/>
        <item x="365"/>
        <item x="203"/>
        <item x="44"/>
        <item x="38"/>
        <item x="319"/>
        <item x="16"/>
        <item x="513"/>
        <item x="283"/>
        <item x="148"/>
        <item x="520"/>
        <item x="344"/>
        <item x="341"/>
        <item x="54"/>
        <item x="166"/>
        <item x="261"/>
        <item x="324"/>
        <item x="399"/>
        <item x="314"/>
        <item x="128"/>
        <item x="396"/>
        <item x="211"/>
        <item x="21"/>
        <item x="36"/>
        <item x="332"/>
        <item x="31"/>
        <item x="140"/>
        <item x="45"/>
        <item x="263"/>
        <item x="272"/>
        <item x="143"/>
        <item x="321"/>
        <item x="394"/>
        <item x="209"/>
        <item x="519"/>
        <item x="50"/>
        <item x="343"/>
        <item x="139"/>
        <item x="136"/>
        <item x="138"/>
        <item x="32"/>
        <item x="235"/>
        <item x="14"/>
        <item x="11"/>
        <item x="330"/>
        <item x="508"/>
        <item x="307"/>
        <item x="183"/>
        <item x="174"/>
        <item x="177"/>
        <item x="5"/>
        <item x="186"/>
        <item x="57"/>
        <item x="155"/>
        <item x="374"/>
        <item x="363"/>
        <item x="202"/>
        <item x="290"/>
        <item x="269"/>
        <item x="8"/>
        <item x="214"/>
        <item x="280"/>
        <item x="216"/>
        <item x="312"/>
        <item x="262"/>
        <item x="215"/>
        <item x="12"/>
        <item x="414"/>
        <item x="322"/>
        <item x="222"/>
        <item x="151"/>
        <item x="274"/>
        <item x="346"/>
        <item x="220"/>
        <item x="372"/>
        <item x="367"/>
        <item x="206"/>
        <item x="406"/>
        <item x="339"/>
        <item x="288"/>
        <item x="336"/>
        <item x="52"/>
        <item x="23"/>
        <item x="449"/>
        <item x="479"/>
        <item x="395"/>
        <item x="109"/>
        <item x="281"/>
        <item x="33"/>
        <item x="34"/>
        <item x="125"/>
        <item x="152"/>
        <item x="337"/>
        <item x="208"/>
        <item x="474"/>
        <item x="165"/>
        <item x="282"/>
        <item x="137"/>
        <item x="248"/>
        <item x="412"/>
        <item x="205"/>
        <item x="117"/>
        <item x="120"/>
        <item x="144"/>
        <item x="250"/>
        <item x="39"/>
        <item x="234"/>
        <item x="22"/>
        <item x="130"/>
        <item x="293"/>
        <item x="285"/>
        <item x="123"/>
        <item x="110"/>
        <item x="512"/>
        <item x="419"/>
        <item x="254"/>
        <item x="9"/>
        <item x="126"/>
        <item x="389"/>
        <item x="516"/>
        <item x="184"/>
        <item x="232"/>
        <item x="47"/>
        <item x="306"/>
        <item x="124"/>
        <item x="242"/>
        <item x="53"/>
        <item x="25"/>
        <item x="268"/>
        <item x="18"/>
        <item x="41"/>
        <item x="247"/>
        <item x="167"/>
        <item x="420"/>
        <item x="142"/>
        <item x="240"/>
        <item x="60"/>
        <item x="75"/>
        <item x="79"/>
        <item x="390"/>
        <item x="238"/>
        <item x="56"/>
        <item x="286"/>
        <item x="239"/>
        <item x="218"/>
        <item x="267"/>
        <item x="90"/>
        <item x="436"/>
        <item x="122"/>
        <item x="417"/>
        <item x="24"/>
        <item x="121"/>
        <item x="163"/>
        <item x="196"/>
        <item x="251"/>
        <item x="7"/>
        <item x="360"/>
        <item x="135"/>
        <item x="26"/>
        <item x="145"/>
        <item x="410"/>
        <item x="511"/>
        <item x="351"/>
        <item x="195"/>
        <item x="149"/>
        <item x="158"/>
        <item x="204"/>
        <item x="115"/>
        <item x="243"/>
        <item x="326"/>
        <item x="264"/>
        <item x="19"/>
        <item x="77"/>
        <item x="259"/>
        <item x="317"/>
        <item x="35"/>
        <item x="371"/>
        <item x="305"/>
        <item x="302"/>
        <item x="301"/>
        <item x="108"/>
        <item x="241"/>
        <item x="292"/>
        <item x="502"/>
        <item x="156"/>
        <item x="266"/>
        <item x="72"/>
        <item x="223"/>
        <item x="416"/>
        <item x="171"/>
        <item x="154"/>
        <item x="40"/>
        <item x="153"/>
        <item x="270"/>
        <item x="284"/>
        <item x="180"/>
        <item x="107"/>
        <item x="260"/>
        <item x="481"/>
        <item x="96"/>
        <item x="199"/>
        <item x="116"/>
        <item x="437"/>
        <item x="17"/>
        <item x="95"/>
        <item x="271"/>
        <item x="85"/>
        <item x="362"/>
        <item x="172"/>
        <item x="89"/>
        <item x="246"/>
        <item x="27"/>
        <item x="244"/>
        <item x="480"/>
        <item x="111"/>
        <item x="119"/>
        <item x="67"/>
        <item x="194"/>
        <item x="114"/>
        <item x="310"/>
        <item x="76"/>
        <item x="361"/>
        <item x="94"/>
        <item x="350"/>
        <item x="229"/>
        <item x="221"/>
        <item x="63"/>
        <item x="384"/>
        <item x="88"/>
        <item x="127"/>
        <item x="181"/>
        <item x="182"/>
        <item x="316"/>
        <item x="118"/>
        <item x="112"/>
        <item x="168"/>
        <item x="228"/>
        <item x="105"/>
        <item x="106"/>
        <item x="200"/>
        <item x="162"/>
        <item x="230"/>
        <item x="133"/>
        <item x="233"/>
        <item x="227"/>
        <item x="164"/>
        <item x="71"/>
        <item x="328"/>
        <item x="340"/>
        <item x="104"/>
        <item x="82"/>
        <item x="185"/>
        <item x="62"/>
        <item x="469"/>
        <item x="473"/>
        <item x="20"/>
        <item x="59"/>
        <item x="113"/>
        <item x="265"/>
        <item x="445"/>
        <item x="329"/>
        <item x="141"/>
        <item x="98"/>
        <item x="93"/>
        <item x="74"/>
        <item x="224"/>
        <item x="91"/>
        <item x="81"/>
        <item x="504"/>
        <item x="459"/>
        <item x="68"/>
        <item x="278"/>
        <item x="101"/>
        <item x="311"/>
        <item x="80"/>
        <item x="287"/>
        <item x="179"/>
        <item x="103"/>
        <item x="92"/>
        <item x="86"/>
        <item x="83"/>
        <item x="468"/>
        <item x="500"/>
        <item x="497"/>
        <item x="273"/>
        <item x="134"/>
        <item x="308"/>
        <item x="69"/>
        <item x="100"/>
        <item x="175"/>
        <item x="84"/>
        <item x="191"/>
        <item x="338"/>
        <item x="73"/>
        <item x="289"/>
        <item x="501"/>
        <item x="457"/>
        <item x="455"/>
        <item x="466"/>
        <item x="494"/>
        <item x="462"/>
        <item t="default"/>
      </items>
    </pivotField>
    <pivotField showAll="0">
      <items count="523">
        <item x="174"/>
        <item x="124"/>
        <item x="47"/>
        <item x="288"/>
        <item x="503"/>
        <item x="468"/>
        <item x="472"/>
        <item x="456"/>
        <item x="461"/>
        <item x="467"/>
        <item x="458"/>
        <item x="487"/>
        <item x="454"/>
        <item x="457"/>
        <item x="499"/>
        <item x="466"/>
        <item x="500"/>
        <item x="459"/>
        <item x="427"/>
        <item x="502"/>
        <item x="465"/>
        <item x="497"/>
        <item x="489"/>
        <item x="520"/>
        <item x="495"/>
        <item x="517"/>
        <item x="493"/>
        <item x="453"/>
        <item x="496"/>
        <item x="469"/>
        <item x="505"/>
        <item x="455"/>
        <item x="521"/>
        <item x="425"/>
        <item x="464"/>
        <item x="471"/>
        <item x="49"/>
        <item x="504"/>
        <item x="43"/>
        <item x="498"/>
        <item x="470"/>
        <item x="486"/>
        <item x="447"/>
        <item x="432"/>
        <item x="488"/>
        <item x="452"/>
        <item x="275"/>
        <item x="445"/>
        <item x="441"/>
        <item x="422"/>
        <item x="460"/>
        <item x="477"/>
        <item x="236"/>
        <item x="506"/>
        <item x="276"/>
        <item x="475"/>
        <item x="15"/>
        <item x="157"/>
        <item x="476"/>
        <item x="437"/>
        <item x="462"/>
        <item x="147"/>
        <item x="429"/>
        <item x="424"/>
        <item x="146"/>
        <item x="451"/>
        <item x="426"/>
        <item x="516"/>
        <item x="494"/>
        <item x="258"/>
        <item x="148"/>
        <item x="514"/>
        <item x="433"/>
        <item x="390"/>
        <item x="55"/>
        <item x="317"/>
        <item x="483"/>
        <item x="29"/>
        <item x="385"/>
        <item x="150"/>
        <item x="442"/>
        <item x="30"/>
        <item x="519"/>
        <item x="420"/>
        <item x="439"/>
        <item x="428"/>
        <item x="10"/>
        <item x="440"/>
        <item x="382"/>
        <item x="28"/>
        <item x="16"/>
        <item x="207"/>
        <item x="482"/>
        <item x="48"/>
        <item x="421"/>
        <item x="237"/>
        <item x="298"/>
        <item x="407"/>
        <item x="231"/>
        <item x="247"/>
        <item x="354"/>
        <item x="242"/>
        <item x="51"/>
        <item x="42"/>
        <item x="314"/>
        <item x="463"/>
        <item x="256"/>
        <item x="257"/>
        <item x="210"/>
        <item x="403"/>
        <item x="13"/>
        <item x="299"/>
        <item x="213"/>
        <item x="391"/>
        <item x="294"/>
        <item x="375"/>
        <item x="249"/>
        <item x="402"/>
        <item x="404"/>
        <item x="484"/>
        <item x="46"/>
        <item x="512"/>
        <item x="255"/>
        <item x="386"/>
        <item x="443"/>
        <item x="417"/>
        <item x="278"/>
        <item x="381"/>
        <item x="406"/>
        <item x="513"/>
        <item x="357"/>
        <item x="152"/>
        <item x="518"/>
        <item x="129"/>
        <item x="431"/>
        <item x="430"/>
        <item x="401"/>
        <item x="490"/>
        <item x="399"/>
        <item x="293"/>
        <item x="492"/>
        <item x="161"/>
        <item x="423"/>
        <item x="511"/>
        <item x="474"/>
        <item x="217"/>
        <item x="248"/>
        <item x="155"/>
        <item x="160"/>
        <item x="159"/>
        <item x="450"/>
        <item x="202"/>
        <item x="212"/>
        <item x="330"/>
        <item x="379"/>
        <item x="38"/>
        <item x="380"/>
        <item x="128"/>
        <item x="408"/>
        <item x="318"/>
        <item x="239"/>
        <item x="446"/>
        <item x="262"/>
        <item x="295"/>
        <item x="312"/>
        <item x="37"/>
        <item x="11"/>
        <item x="434"/>
        <item x="253"/>
        <item x="219"/>
        <item x="348"/>
        <item x="377"/>
        <item x="414"/>
        <item x="322"/>
        <item x="235"/>
        <item x="203"/>
        <item x="252"/>
        <item x="143"/>
        <item x="383"/>
        <item x="384"/>
        <item x="491"/>
        <item x="353"/>
        <item x="144"/>
        <item x="149"/>
        <item x="32"/>
        <item x="368"/>
        <item x="311"/>
        <item x="396"/>
        <item x="238"/>
        <item x="435"/>
        <item x="205"/>
        <item x="25"/>
        <item x="378"/>
        <item x="313"/>
        <item x="355"/>
        <item x="372"/>
        <item x="319"/>
        <item x="438"/>
        <item x="263"/>
        <item x="166"/>
        <item x="209"/>
        <item x="376"/>
        <item x="448"/>
        <item x="344"/>
        <item x="515"/>
        <item x="54"/>
        <item x="44"/>
        <item x="485"/>
        <item x="199"/>
        <item x="269"/>
        <item x="387"/>
        <item x="200"/>
        <item x="26"/>
        <item x="392"/>
        <item x="9"/>
        <item x="22"/>
        <item x="23"/>
        <item x="290"/>
        <item x="125"/>
        <item x="214"/>
        <item x="334"/>
        <item x="351"/>
        <item x="510"/>
        <item x="272"/>
        <item x="156"/>
        <item x="115"/>
        <item x="481"/>
        <item x="240"/>
        <item x="395"/>
        <item x="397"/>
        <item x="341"/>
        <item x="243"/>
        <item x="14"/>
        <item x="45"/>
        <item x="352"/>
        <item x="369"/>
        <item x="138"/>
        <item x="282"/>
        <item x="324"/>
        <item x="36"/>
        <item x="7"/>
        <item x="136"/>
        <item x="123"/>
        <item x="109"/>
        <item x="419"/>
        <item x="398"/>
        <item x="21"/>
        <item x="79"/>
        <item x="356"/>
        <item x="120"/>
        <item x="400"/>
        <item x="3"/>
        <item x="297"/>
        <item x="90"/>
        <item x="139"/>
        <item x="267"/>
        <item x="8"/>
        <item x="261"/>
        <item x="140"/>
        <item x="444"/>
        <item x="137"/>
        <item x="296"/>
        <item x="31"/>
        <item x="277"/>
        <item x="126"/>
        <item x="222"/>
        <item x="393"/>
        <item x="347"/>
        <item x="216"/>
        <item x="279"/>
        <item x="332"/>
        <item x="323"/>
        <item x="234"/>
        <item x="24"/>
        <item x="346"/>
        <item x="19"/>
        <item x="343"/>
        <item x="389"/>
        <item x="142"/>
        <item x="412"/>
        <item x="478"/>
        <item x="206"/>
        <item x="274"/>
        <item x="340"/>
        <item x="12"/>
        <item x="329"/>
        <item x="241"/>
        <item x="367"/>
        <item x="151"/>
        <item x="325"/>
        <item x="110"/>
        <item x="246"/>
        <item x="165"/>
        <item x="50"/>
        <item x="365"/>
        <item x="333"/>
        <item x="320"/>
        <item x="173"/>
        <item x="191"/>
        <item x="281"/>
        <item x="229"/>
        <item x="473"/>
        <item x="17"/>
        <item x="251"/>
        <item x="321"/>
        <item x="220"/>
        <item x="250"/>
        <item x="342"/>
        <item x="363"/>
        <item x="411"/>
        <item x="260"/>
        <item x="75"/>
        <item x="85"/>
        <item x="245"/>
        <item x="364"/>
        <item x="413"/>
        <item x="52"/>
        <item x="259"/>
        <item x="34"/>
        <item x="60"/>
        <item x="39"/>
        <item x="168"/>
        <item x="215"/>
        <item x="89"/>
        <item x="91"/>
        <item x="388"/>
        <item x="18"/>
        <item x="373"/>
        <item x="72"/>
        <item x="374"/>
        <item x="33"/>
        <item x="88"/>
        <item x="287"/>
        <item x="345"/>
        <item x="405"/>
        <item x="41"/>
        <item x="264"/>
        <item x="265"/>
        <item x="95"/>
        <item x="268"/>
        <item x="208"/>
        <item x="118"/>
        <item x="292"/>
        <item x="195"/>
        <item x="113"/>
        <item x="211"/>
        <item x="366"/>
        <item x="130"/>
        <item x="436"/>
        <item x="316"/>
        <item x="289"/>
        <item x="114"/>
        <item x="94"/>
        <item x="331"/>
        <item x="416"/>
        <item x="117"/>
        <item x="233"/>
        <item x="254"/>
        <item x="338"/>
        <item x="415"/>
        <item x="284"/>
        <item x="53"/>
        <item x="112"/>
        <item x="67"/>
        <item x="394"/>
        <item x="56"/>
        <item x="4"/>
        <item x="154"/>
        <item x="501"/>
        <item x="108"/>
        <item x="266"/>
        <item x="135"/>
        <item x="163"/>
        <item x="204"/>
        <item x="171"/>
        <item x="176"/>
        <item x="122"/>
        <item x="180"/>
        <item x="192"/>
        <item x="77"/>
        <item x="350"/>
        <item x="409"/>
        <item x="27"/>
        <item x="196"/>
        <item x="121"/>
        <item x="193"/>
        <item x="223"/>
        <item x="181"/>
        <item x="271"/>
        <item x="370"/>
        <item x="145"/>
        <item x="270"/>
        <item x="291"/>
        <item x="280"/>
        <item x="71"/>
        <item x="285"/>
        <item x="244"/>
        <item x="479"/>
        <item x="96"/>
        <item x="111"/>
        <item x="362"/>
        <item x="218"/>
        <item x="158"/>
        <item x="119"/>
        <item x="336"/>
        <item x="0"/>
        <item x="371"/>
        <item x="116"/>
        <item x="418"/>
        <item x="153"/>
        <item x="230"/>
        <item x="194"/>
        <item x="198"/>
        <item x="78"/>
        <item x="335"/>
        <item x="309"/>
        <item x="127"/>
        <item x="221"/>
        <item x="182"/>
        <item x="224"/>
        <item x="101"/>
        <item x="169"/>
        <item x="81"/>
        <item x="92"/>
        <item x="80"/>
        <item x="167"/>
        <item x="359"/>
        <item x="480"/>
        <item x="68"/>
        <item x="133"/>
        <item x="190"/>
        <item x="449"/>
        <item x="106"/>
        <item x="83"/>
        <item x="103"/>
        <item x="86"/>
        <item x="228"/>
        <item x="327"/>
        <item x="76"/>
        <item x="20"/>
        <item x="1"/>
        <item x="283"/>
        <item x="84"/>
        <item x="164"/>
        <item x="107"/>
        <item x="40"/>
        <item x="35"/>
        <item x="59"/>
        <item x="2"/>
        <item x="104"/>
        <item x="360"/>
        <item x="98"/>
        <item x="175"/>
        <item x="315"/>
        <item x="93"/>
        <item x="74"/>
        <item x="227"/>
        <item x="179"/>
        <item x="69"/>
        <item x="328"/>
        <item x="141"/>
        <item x="172"/>
        <item x="286"/>
        <item x="349"/>
        <item x="188"/>
        <item x="87"/>
        <item x="6"/>
        <item x="105"/>
        <item x="226"/>
        <item x="361"/>
        <item x="273"/>
        <item x="100"/>
        <item x="189"/>
        <item x="201"/>
        <item x="307"/>
        <item x="134"/>
        <item x="308"/>
        <item x="197"/>
        <item x="97"/>
        <item x="310"/>
        <item x="509"/>
        <item x="339"/>
        <item x="162"/>
        <item x="73"/>
        <item x="58"/>
        <item x="178"/>
        <item x="70"/>
        <item x="5"/>
        <item x="410"/>
        <item x="170"/>
        <item x="508"/>
        <item x="66"/>
        <item x="102"/>
        <item x="358"/>
        <item x="61"/>
        <item x="225"/>
        <item x="131"/>
        <item x="507"/>
        <item x="337"/>
        <item x="132"/>
        <item x="302"/>
        <item x="64"/>
        <item x="99"/>
        <item x="187"/>
        <item x="65"/>
        <item x="183"/>
        <item x="306"/>
        <item x="303"/>
        <item x="177"/>
        <item x="326"/>
        <item x="232"/>
        <item x="184"/>
        <item x="57"/>
        <item x="305"/>
        <item x="186"/>
        <item x="304"/>
        <item x="301"/>
        <item x="62"/>
        <item x="82"/>
        <item x="63"/>
        <item x="300"/>
        <item x="185"/>
        <item t="default"/>
      </items>
    </pivotField>
    <pivotField dataField="1" showAll="0"/>
    <pivotField numFmtId="4" showAll="0"/>
    <pivotField dataField="1"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3">
    <field x="20"/>
    <field x="18"/>
    <field x="11"/>
  </rowFields>
  <rowItems count="4"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close " fld="7" baseField="0" baseItem="0" numFmtId="4"/>
    <dataField name="Sum of Vol_Per_Trade" fld="16" baseField="0" baseItem="0"/>
    <dataField name="Sum of Daily_Change_Pct" fld="14" baseField="0" baseItem="0"/>
  </dataFields>
  <chartFormats count="6">
    <chartFormat chart="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B3A0DC-FEBE-4696-9D90-8D4591F9F78A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B2" firstHeaderRow="0" firstDataRow="1" firstDataCol="0"/>
  <pivotFields count="21">
    <pivotField numFmtId="15" showAll="0">
      <items count="5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t="default"/>
      </items>
    </pivotField>
    <pivotField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dataField="1" numFmtId="4" showAll="0"/>
    <pivotField numFmtId="4" showAll="0"/>
    <pivotField showAll="0"/>
    <pivotField showAll="0"/>
    <pivotField showAll="0"/>
    <pivotField dataField="1" showAll="0"/>
    <pivotField numFmtId="4"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52W H " fld="9" baseField="0" baseItem="0" numFmtId="4"/>
    <dataField name="Sum of Daily_Change_Pct" fld="14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8C327-1BBB-42D8-A19F-771C0E0D2B85}">
  <dimension ref="A1:D5"/>
  <sheetViews>
    <sheetView zoomScale="50" zoomScaleNormal="70" workbookViewId="0">
      <selection activeCell="E48" sqref="E48"/>
    </sheetView>
  </sheetViews>
  <sheetFormatPr defaultRowHeight="14.4"/>
  <cols>
    <col min="1" max="1" width="18.44140625" bestFit="1" customWidth="1"/>
    <col min="2" max="2" width="16.88671875" bestFit="1" customWidth="1"/>
    <col min="3" max="3" width="27.33203125" bestFit="1" customWidth="1"/>
    <col min="4" max="4" width="31.6640625" bestFit="1" customWidth="1"/>
    <col min="5" max="5" width="33.109375" bestFit="1" customWidth="1"/>
    <col min="6" max="6" width="19.21875" bestFit="1" customWidth="1"/>
    <col min="7" max="7" width="19.44140625" bestFit="1" customWidth="1"/>
    <col min="8" max="14" width="17.77734375" bestFit="1" customWidth="1"/>
  </cols>
  <sheetData>
    <row r="1" spans="1:4">
      <c r="A1" s="9" t="s">
        <v>1191</v>
      </c>
      <c r="B1" t="s">
        <v>1198</v>
      </c>
      <c r="C1" t="s">
        <v>1196</v>
      </c>
      <c r="D1" t="s">
        <v>1197</v>
      </c>
    </row>
    <row r="2" spans="1:4">
      <c r="A2" s="10" t="s">
        <v>1193</v>
      </c>
      <c r="B2" s="12">
        <v>198907.55000000002</v>
      </c>
      <c r="C2" s="11">
        <v>1991.6151489505316</v>
      </c>
      <c r="D2" s="11">
        <v>18.020006835287624</v>
      </c>
    </row>
    <row r="3" spans="1:4">
      <c r="A3" s="10" t="s">
        <v>1194</v>
      </c>
      <c r="B3" s="12">
        <v>750728.64999999979</v>
      </c>
      <c r="C3" s="11">
        <v>4868.1614618725807</v>
      </c>
      <c r="D3" s="11">
        <v>-1.3724133042227011</v>
      </c>
    </row>
    <row r="4" spans="1:4">
      <c r="A4" s="10" t="s">
        <v>1195</v>
      </c>
      <c r="B4" s="12">
        <v>467002.05000000028</v>
      </c>
      <c r="C4" s="11">
        <v>3543.8163826511136</v>
      </c>
      <c r="D4" s="11">
        <v>4.8377467567366166</v>
      </c>
    </row>
    <row r="5" spans="1:4">
      <c r="A5" s="10" t="s">
        <v>1192</v>
      </c>
      <c r="B5" s="12">
        <v>1416638.25</v>
      </c>
      <c r="C5" s="11">
        <v>10403.592993474227</v>
      </c>
      <c r="D5" s="11">
        <v>21.485340287801542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156FE-83E7-4101-B9F6-6D592815A1BD}">
  <dimension ref="A1:B2"/>
  <sheetViews>
    <sheetView workbookViewId="0">
      <selection activeCell="A3" sqref="A3"/>
    </sheetView>
  </sheetViews>
  <sheetFormatPr defaultRowHeight="14.4"/>
  <cols>
    <col min="1" max="1" width="12.6640625" bestFit="1" customWidth="1"/>
    <col min="2" max="2" width="22" bestFit="1" customWidth="1"/>
  </cols>
  <sheetData>
    <row r="1" spans="1:2">
      <c r="A1" t="s">
        <v>1199</v>
      </c>
      <c r="B1" t="s">
        <v>1197</v>
      </c>
    </row>
    <row r="2" spans="1:2">
      <c r="A2" s="12">
        <v>1915270.2999999872</v>
      </c>
      <c r="B2" s="11">
        <v>21.485340287801552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6C420-B0CD-4687-9FC7-90D30F4AFF2C}">
  <dimension ref="A1:R524"/>
  <sheetViews>
    <sheetView tabSelected="1" zoomScale="32" workbookViewId="0">
      <selection activeCell="AF32" sqref="AF32"/>
    </sheetView>
  </sheetViews>
  <sheetFormatPr defaultRowHeight="14.4" customHeight="1"/>
  <cols>
    <col min="1" max="1" width="14.21875" style="1" customWidth="1"/>
    <col min="2" max="2" width="10.77734375" style="1" customWidth="1"/>
    <col min="3" max="9" width="8.88671875" style="1"/>
    <col min="10" max="10" width="12.5546875" style="1" customWidth="1"/>
    <col min="11" max="11" width="14.21875" style="1" customWidth="1"/>
    <col min="12" max="12" width="20.88671875" style="1" customWidth="1"/>
    <col min="13" max="13" width="19.6640625" style="1" customWidth="1"/>
    <col min="14" max="14" width="10.5546875" style="1" customWidth="1"/>
    <col min="15" max="15" width="16.109375" style="1" customWidth="1"/>
    <col min="16" max="16" width="15.6640625" style="1" customWidth="1"/>
    <col min="17" max="17" width="13.6640625" style="1" customWidth="1"/>
    <col min="18" max="18" width="16.33203125" style="1" customWidth="1"/>
    <col min="19" max="16384" width="8.88671875" style="1"/>
  </cols>
  <sheetData>
    <row r="1" spans="1:18" customFormat="1" ht="14.4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6" t="s">
        <v>1187</v>
      </c>
      <c r="P1" s="6" t="s">
        <v>1188</v>
      </c>
      <c r="Q1" s="6" t="s">
        <v>1189</v>
      </c>
      <c r="R1" s="6" t="s">
        <v>1190</v>
      </c>
    </row>
    <row r="2" spans="1:18" customFormat="1" ht="14.4" customHeight="1">
      <c r="A2" s="2">
        <v>45173</v>
      </c>
      <c r="B2" s="1" t="s">
        <v>14</v>
      </c>
      <c r="C2" s="3">
        <v>2454</v>
      </c>
      <c r="D2" s="3">
        <v>2480</v>
      </c>
      <c r="E2" s="3">
        <v>2450.0500000000002</v>
      </c>
      <c r="F2" s="3">
        <v>2450.0500000000002</v>
      </c>
      <c r="G2" s="3">
        <v>2470.5</v>
      </c>
      <c r="H2" s="3">
        <v>2470.6</v>
      </c>
      <c r="I2" s="3">
        <v>2470.54</v>
      </c>
      <c r="J2" s="3">
        <v>4190</v>
      </c>
      <c r="K2" s="3">
        <v>1017.45</v>
      </c>
      <c r="L2" s="1" t="s">
        <v>1184</v>
      </c>
      <c r="M2" s="1" t="s">
        <v>1185</v>
      </c>
      <c r="N2" s="1" t="s">
        <v>1186</v>
      </c>
      <c r="O2" s="7">
        <f t="shared" ref="O2:O65" si="0">((H2-F2)/F2)*100</f>
        <v>0.83875839268585228</v>
      </c>
      <c r="P2" s="8">
        <f t="shared" ref="P2:P65" si="1">(D2-E2)</f>
        <v>29.949999999999818</v>
      </c>
      <c r="Q2" s="7">
        <f t="shared" ref="Q2:Q65" si="2">IF(N2=0,0,L2/N2)</f>
        <v>57.165154576297027</v>
      </c>
      <c r="R2" s="7">
        <f t="shared" ref="R2:R65" si="3">((H2-J2)/J2)*100</f>
        <v>-41.035799522673031</v>
      </c>
    </row>
    <row r="3" spans="1:18" customFormat="1" ht="14.4" customHeight="1">
      <c r="A3" s="2">
        <v>45174</v>
      </c>
      <c r="B3" s="1" t="s">
        <v>14</v>
      </c>
      <c r="C3" s="3">
        <v>2482</v>
      </c>
      <c r="D3" s="3">
        <v>2501.4</v>
      </c>
      <c r="E3" s="3">
        <v>2464</v>
      </c>
      <c r="F3" s="3">
        <v>2470.6</v>
      </c>
      <c r="G3" s="3">
        <v>2488</v>
      </c>
      <c r="H3" s="3">
        <v>2494.0500000000002</v>
      </c>
      <c r="I3" s="3">
        <v>2488.19</v>
      </c>
      <c r="J3" s="3">
        <v>4190</v>
      </c>
      <c r="K3" s="3">
        <v>1017.45</v>
      </c>
      <c r="L3" s="1" t="s">
        <v>1181</v>
      </c>
      <c r="M3" s="1" t="s">
        <v>1182</v>
      </c>
      <c r="N3" s="1" t="s">
        <v>1183</v>
      </c>
      <c r="O3" s="7">
        <f t="shared" si="0"/>
        <v>0.9491621468469309</v>
      </c>
      <c r="P3" s="8">
        <f t="shared" si="1"/>
        <v>37.400000000000091</v>
      </c>
      <c r="Q3" s="7">
        <f t="shared" si="2"/>
        <v>51.935326130452182</v>
      </c>
      <c r="R3" s="7">
        <f t="shared" si="3"/>
        <v>-40.476133651551308</v>
      </c>
    </row>
    <row r="4" spans="1:18" customFormat="1" ht="14.4" customHeight="1">
      <c r="A4" s="2">
        <v>45175</v>
      </c>
      <c r="B4" s="1" t="s">
        <v>14</v>
      </c>
      <c r="C4" s="3">
        <v>2494.0500000000002</v>
      </c>
      <c r="D4" s="3">
        <v>2504</v>
      </c>
      <c r="E4" s="3">
        <v>2471</v>
      </c>
      <c r="F4" s="3">
        <v>2494.0500000000002</v>
      </c>
      <c r="G4" s="3">
        <v>2489.4499999999998</v>
      </c>
      <c r="H4" s="3">
        <v>2496.5</v>
      </c>
      <c r="I4" s="3">
        <v>2493.7399999999998</v>
      </c>
      <c r="J4" s="3">
        <v>4190</v>
      </c>
      <c r="K4" s="3">
        <v>1017.45</v>
      </c>
      <c r="L4" s="1" t="s">
        <v>1178</v>
      </c>
      <c r="M4" s="1" t="s">
        <v>1179</v>
      </c>
      <c r="N4" s="1" t="s">
        <v>1180</v>
      </c>
      <c r="O4" s="7">
        <f t="shared" si="0"/>
        <v>9.8233796435509238E-2</v>
      </c>
      <c r="P4" s="8">
        <f t="shared" si="1"/>
        <v>33</v>
      </c>
      <c r="Q4" s="7">
        <f t="shared" si="2"/>
        <v>57.484055993923143</v>
      </c>
      <c r="R4" s="7">
        <f t="shared" si="3"/>
        <v>-40.417661097852033</v>
      </c>
    </row>
    <row r="5" spans="1:18" customFormat="1" ht="14.4" customHeight="1">
      <c r="A5" s="2">
        <v>45176</v>
      </c>
      <c r="B5" s="1" t="s">
        <v>14</v>
      </c>
      <c r="C5" s="3">
        <v>2498</v>
      </c>
      <c r="D5" s="3">
        <v>2520</v>
      </c>
      <c r="E5" s="3">
        <v>2485</v>
      </c>
      <c r="F5" s="3">
        <v>2496.5</v>
      </c>
      <c r="G5" s="3">
        <v>2506</v>
      </c>
      <c r="H5" s="3">
        <v>2509.5</v>
      </c>
      <c r="I5" s="3">
        <v>2506</v>
      </c>
      <c r="J5" s="3">
        <v>4190</v>
      </c>
      <c r="K5" s="3">
        <v>1017.45</v>
      </c>
      <c r="L5" s="1" t="s">
        <v>1176</v>
      </c>
      <c r="M5" s="1" t="s">
        <v>1177</v>
      </c>
      <c r="N5" s="4">
        <v>65954</v>
      </c>
      <c r="O5" s="7">
        <f t="shared" si="0"/>
        <v>0.52072902062888049</v>
      </c>
      <c r="P5" s="8">
        <f t="shared" si="1"/>
        <v>35</v>
      </c>
      <c r="Q5" s="7">
        <f t="shared" si="2"/>
        <v>65.181611426145494</v>
      </c>
      <c r="R5" s="7">
        <f t="shared" si="3"/>
        <v>-40.107398568019093</v>
      </c>
    </row>
    <row r="6" spans="1:18" customFormat="1" ht="14.4" customHeight="1">
      <c r="A6" s="2">
        <v>45177</v>
      </c>
      <c r="B6" s="1" t="s">
        <v>14</v>
      </c>
      <c r="C6" s="3">
        <v>2513.8000000000002</v>
      </c>
      <c r="D6" s="3">
        <v>2538.6</v>
      </c>
      <c r="E6" s="3">
        <v>2506.1</v>
      </c>
      <c r="F6" s="3">
        <v>2509.5</v>
      </c>
      <c r="G6" s="3">
        <v>2519</v>
      </c>
      <c r="H6" s="3">
        <v>2519.3000000000002</v>
      </c>
      <c r="I6" s="3">
        <v>2526.4899999999998</v>
      </c>
      <c r="J6" s="3">
        <v>4190</v>
      </c>
      <c r="K6" s="3">
        <v>1017.45</v>
      </c>
      <c r="L6" s="1" t="s">
        <v>1174</v>
      </c>
      <c r="M6" s="1" t="s">
        <v>1175</v>
      </c>
      <c r="N6" s="4">
        <v>91658</v>
      </c>
      <c r="O6" s="7">
        <f t="shared" si="0"/>
        <v>0.39051603905161114</v>
      </c>
      <c r="P6" s="8">
        <f t="shared" si="1"/>
        <v>32.5</v>
      </c>
      <c r="Q6" s="7">
        <f t="shared" si="2"/>
        <v>61.543705950380762</v>
      </c>
      <c r="R6" s="7">
        <f t="shared" si="3"/>
        <v>-39.873508353221951</v>
      </c>
    </row>
    <row r="7" spans="1:18" customFormat="1" ht="14.4" customHeight="1">
      <c r="A7" s="2">
        <v>45180</v>
      </c>
      <c r="B7" s="1" t="s">
        <v>14</v>
      </c>
      <c r="C7" s="3">
        <v>2565</v>
      </c>
      <c r="D7" s="3">
        <v>2630.25</v>
      </c>
      <c r="E7" s="3">
        <v>2546</v>
      </c>
      <c r="F7" s="3">
        <v>2519.3000000000002</v>
      </c>
      <c r="G7" s="3">
        <v>2612</v>
      </c>
      <c r="H7" s="3">
        <v>2614.9499999999998</v>
      </c>
      <c r="I7" s="3">
        <v>2581.13</v>
      </c>
      <c r="J7" s="3">
        <v>4190</v>
      </c>
      <c r="K7" s="3">
        <v>1017.45</v>
      </c>
      <c r="L7" s="1" t="s">
        <v>1171</v>
      </c>
      <c r="M7" s="1" t="s">
        <v>1172</v>
      </c>
      <c r="N7" s="1" t="s">
        <v>1173</v>
      </c>
      <c r="O7" s="7">
        <f t="shared" si="0"/>
        <v>3.7966895566228565</v>
      </c>
      <c r="P7" s="8">
        <f t="shared" si="1"/>
        <v>84.25</v>
      </c>
      <c r="Q7" s="7">
        <f t="shared" si="2"/>
        <v>50.504540761964698</v>
      </c>
      <c r="R7" s="7">
        <f t="shared" si="3"/>
        <v>-37.590692124105018</v>
      </c>
    </row>
    <row r="8" spans="1:18" customFormat="1" ht="14.4" customHeight="1">
      <c r="A8" s="2">
        <v>45181</v>
      </c>
      <c r="B8" s="1" t="s">
        <v>14</v>
      </c>
      <c r="C8" s="3">
        <v>2622.45</v>
      </c>
      <c r="D8" s="3">
        <v>2626.6</v>
      </c>
      <c r="E8" s="3">
        <v>2530</v>
      </c>
      <c r="F8" s="3">
        <v>2614.9499999999998</v>
      </c>
      <c r="G8" s="3">
        <v>2532.0500000000002</v>
      </c>
      <c r="H8" s="3">
        <v>2535.6999999999998</v>
      </c>
      <c r="I8" s="3">
        <v>2555.52</v>
      </c>
      <c r="J8" s="3">
        <v>4190</v>
      </c>
      <c r="K8" s="3">
        <v>1017.45</v>
      </c>
      <c r="L8" s="1" t="s">
        <v>1168</v>
      </c>
      <c r="M8" s="1" t="s">
        <v>1169</v>
      </c>
      <c r="N8" s="1" t="s">
        <v>1170</v>
      </c>
      <c r="O8" s="7">
        <f t="shared" si="0"/>
        <v>-3.0306506816573933</v>
      </c>
      <c r="P8" s="8">
        <f t="shared" si="1"/>
        <v>96.599999999999909</v>
      </c>
      <c r="Q8" s="7">
        <f t="shared" si="2"/>
        <v>38.390597014925376</v>
      </c>
      <c r="R8" s="7">
        <f t="shared" si="3"/>
        <v>-39.482100238663485</v>
      </c>
    </row>
    <row r="9" spans="1:18" customFormat="1" ht="14.4" customHeight="1">
      <c r="A9" s="2">
        <v>45182</v>
      </c>
      <c r="B9" s="1" t="s">
        <v>14</v>
      </c>
      <c r="C9" s="3">
        <v>2545.6999999999998</v>
      </c>
      <c r="D9" s="3">
        <v>2566.9499999999998</v>
      </c>
      <c r="E9" s="3">
        <v>2496</v>
      </c>
      <c r="F9" s="3">
        <v>2535.6999999999998</v>
      </c>
      <c r="G9" s="3">
        <v>2525</v>
      </c>
      <c r="H9" s="3">
        <v>2518.9</v>
      </c>
      <c r="I9" s="3">
        <v>2528.52</v>
      </c>
      <c r="J9" s="3">
        <v>4190</v>
      </c>
      <c r="K9" s="3">
        <v>1017.45</v>
      </c>
      <c r="L9" s="1" t="s">
        <v>1166</v>
      </c>
      <c r="M9" s="1" t="s">
        <v>1167</v>
      </c>
      <c r="N9" s="4">
        <v>64129</v>
      </c>
      <c r="O9" s="7">
        <f t="shared" si="0"/>
        <v>-0.66253894388136325</v>
      </c>
      <c r="P9" s="8">
        <f t="shared" si="1"/>
        <v>70.949999999999818</v>
      </c>
      <c r="Q9" s="7">
        <f t="shared" si="2"/>
        <v>27.757613560167787</v>
      </c>
      <c r="R9" s="7">
        <f t="shared" si="3"/>
        <v>-39.883054892601429</v>
      </c>
    </row>
    <row r="10" spans="1:18" customFormat="1" ht="14.4" customHeight="1">
      <c r="A10" s="2">
        <v>45183</v>
      </c>
      <c r="B10" s="1" t="s">
        <v>14</v>
      </c>
      <c r="C10" s="3">
        <v>2541.85</v>
      </c>
      <c r="D10" s="3">
        <v>2545</v>
      </c>
      <c r="E10" s="3">
        <v>2506.0500000000002</v>
      </c>
      <c r="F10" s="3">
        <v>2518.9</v>
      </c>
      <c r="G10" s="3">
        <v>2516</v>
      </c>
      <c r="H10" s="3">
        <v>2519.8000000000002</v>
      </c>
      <c r="I10" s="3">
        <v>2524.0500000000002</v>
      </c>
      <c r="J10" s="3">
        <v>4190</v>
      </c>
      <c r="K10" s="3">
        <v>1017.45</v>
      </c>
      <c r="L10" s="1" t="s">
        <v>1164</v>
      </c>
      <c r="M10" s="1" t="s">
        <v>1165</v>
      </c>
      <c r="N10" s="4">
        <v>66834</v>
      </c>
      <c r="O10" s="7">
        <f t="shared" si="0"/>
        <v>3.572988209139271E-2</v>
      </c>
      <c r="P10" s="8">
        <f t="shared" si="1"/>
        <v>38.949999999999818</v>
      </c>
      <c r="Q10" s="7">
        <f t="shared" si="2"/>
        <v>18.231454050333664</v>
      </c>
      <c r="R10" s="7">
        <f t="shared" si="3"/>
        <v>-39.861575178997612</v>
      </c>
    </row>
    <row r="11" spans="1:18" customFormat="1" ht="14.4" customHeight="1">
      <c r="A11" s="2">
        <v>45184</v>
      </c>
      <c r="B11" s="1" t="s">
        <v>14</v>
      </c>
      <c r="C11" s="3">
        <v>2519.8000000000002</v>
      </c>
      <c r="D11" s="3">
        <v>2558</v>
      </c>
      <c r="E11" s="3">
        <v>2514.1999999999998</v>
      </c>
      <c r="F11" s="3">
        <v>2519.8000000000002</v>
      </c>
      <c r="G11" s="3">
        <v>2537.9</v>
      </c>
      <c r="H11" s="3">
        <v>2540.0500000000002</v>
      </c>
      <c r="I11" s="3">
        <v>2539.1999999999998</v>
      </c>
      <c r="J11" s="3">
        <v>4190</v>
      </c>
      <c r="K11" s="3">
        <v>1017.45</v>
      </c>
      <c r="L11" s="1" t="s">
        <v>1162</v>
      </c>
      <c r="M11" s="1" t="s">
        <v>1163</v>
      </c>
      <c r="N11" s="4">
        <v>59448</v>
      </c>
      <c r="O11" s="7">
        <f t="shared" si="0"/>
        <v>0.80363520914358277</v>
      </c>
      <c r="P11" s="8">
        <f t="shared" si="1"/>
        <v>43.800000000000182</v>
      </c>
      <c r="Q11" s="7">
        <f t="shared" si="2"/>
        <v>26.022759386354462</v>
      </c>
      <c r="R11" s="7">
        <f t="shared" si="3"/>
        <v>-39.378281622911693</v>
      </c>
    </row>
    <row r="12" spans="1:18" customFormat="1" ht="14.4" customHeight="1">
      <c r="A12" s="2">
        <v>45187</v>
      </c>
      <c r="B12" s="1" t="s">
        <v>14</v>
      </c>
      <c r="C12" s="3">
        <v>2552</v>
      </c>
      <c r="D12" s="3">
        <v>2555</v>
      </c>
      <c r="E12" s="3">
        <v>2491</v>
      </c>
      <c r="F12" s="3">
        <v>2540.0500000000002</v>
      </c>
      <c r="G12" s="3">
        <v>2503</v>
      </c>
      <c r="H12" s="3">
        <v>2502.4499999999998</v>
      </c>
      <c r="I12" s="3">
        <v>2521.46</v>
      </c>
      <c r="J12" s="3">
        <v>4190</v>
      </c>
      <c r="K12" s="3">
        <v>1017.45</v>
      </c>
      <c r="L12" s="1" t="s">
        <v>1160</v>
      </c>
      <c r="M12" s="1" t="s">
        <v>1161</v>
      </c>
      <c r="N12" s="4">
        <v>41768</v>
      </c>
      <c r="O12" s="7">
        <f t="shared" si="0"/>
        <v>-1.4802858211452674</v>
      </c>
      <c r="P12" s="8">
        <f t="shared" si="1"/>
        <v>64</v>
      </c>
      <c r="Q12" s="7">
        <f t="shared" si="2"/>
        <v>20.630075656004596</v>
      </c>
      <c r="R12" s="7">
        <f t="shared" si="3"/>
        <v>-40.275656324582343</v>
      </c>
    </row>
    <row r="13" spans="1:18" customFormat="1" ht="14.4" customHeight="1">
      <c r="A13" s="2">
        <v>45189</v>
      </c>
      <c r="B13" s="1" t="s">
        <v>14</v>
      </c>
      <c r="C13" s="3">
        <v>2502.4</v>
      </c>
      <c r="D13" s="3">
        <v>2533.65</v>
      </c>
      <c r="E13" s="3">
        <v>2458.9</v>
      </c>
      <c r="F13" s="3">
        <v>2502.4499999999998</v>
      </c>
      <c r="G13" s="3">
        <v>2470.4</v>
      </c>
      <c r="H13" s="3">
        <v>2470.3000000000002</v>
      </c>
      <c r="I13" s="3">
        <v>2489.13</v>
      </c>
      <c r="J13" s="3">
        <v>4190</v>
      </c>
      <c r="K13" s="3">
        <v>1017.45</v>
      </c>
      <c r="L13" s="1" t="s">
        <v>1158</v>
      </c>
      <c r="M13" s="1" t="s">
        <v>1159</v>
      </c>
      <c r="N13" s="4">
        <v>53694</v>
      </c>
      <c r="O13" s="7">
        <f t="shared" si="0"/>
        <v>-1.2847409538651977</v>
      </c>
      <c r="P13" s="8">
        <f t="shared" si="1"/>
        <v>74.75</v>
      </c>
      <c r="Q13" s="7">
        <f t="shared" si="2"/>
        <v>22.405091816590307</v>
      </c>
      <c r="R13" s="7">
        <f t="shared" si="3"/>
        <v>-41.042959427207634</v>
      </c>
    </row>
    <row r="14" spans="1:18" customFormat="1" ht="14.4" customHeight="1">
      <c r="A14" s="2">
        <v>45190</v>
      </c>
      <c r="B14" s="1" t="s">
        <v>14</v>
      </c>
      <c r="C14" s="3">
        <v>2479.8000000000002</v>
      </c>
      <c r="D14" s="3">
        <v>2503.8000000000002</v>
      </c>
      <c r="E14" s="3">
        <v>2461</v>
      </c>
      <c r="F14" s="3">
        <v>2470.3000000000002</v>
      </c>
      <c r="G14" s="3">
        <v>2481</v>
      </c>
      <c r="H14" s="3">
        <v>2479.25</v>
      </c>
      <c r="I14" s="3">
        <v>2482.4</v>
      </c>
      <c r="J14" s="3">
        <v>4190</v>
      </c>
      <c r="K14" s="3">
        <v>1017.45</v>
      </c>
      <c r="L14" s="1" t="s">
        <v>1156</v>
      </c>
      <c r="M14" s="1" t="s">
        <v>1157</v>
      </c>
      <c r="N14" s="4">
        <v>72931</v>
      </c>
      <c r="O14" s="7">
        <f t="shared" si="0"/>
        <v>0.36230417358214861</v>
      </c>
      <c r="P14" s="8">
        <f t="shared" si="1"/>
        <v>42.800000000000182</v>
      </c>
      <c r="Q14" s="7">
        <f t="shared" si="2"/>
        <v>17.54957425511785</v>
      </c>
      <c r="R14" s="7">
        <f t="shared" si="3"/>
        <v>-40.829355608591882</v>
      </c>
    </row>
    <row r="15" spans="1:18" customFormat="1" ht="14.4" customHeight="1">
      <c r="A15" s="2">
        <v>45191</v>
      </c>
      <c r="B15" s="1" t="s">
        <v>14</v>
      </c>
      <c r="C15" s="3">
        <v>2489.9499999999998</v>
      </c>
      <c r="D15" s="3">
        <v>2498</v>
      </c>
      <c r="E15" s="3">
        <v>2460</v>
      </c>
      <c r="F15" s="3">
        <v>2479.25</v>
      </c>
      <c r="G15" s="3">
        <v>2462</v>
      </c>
      <c r="H15" s="3">
        <v>2464.9</v>
      </c>
      <c r="I15" s="3">
        <v>2474.0700000000002</v>
      </c>
      <c r="J15" s="3">
        <v>4190</v>
      </c>
      <c r="K15" s="3">
        <v>1017.45</v>
      </c>
      <c r="L15" s="1" t="s">
        <v>1154</v>
      </c>
      <c r="M15" s="1" t="s">
        <v>1155</v>
      </c>
      <c r="N15" s="4">
        <v>44391</v>
      </c>
      <c r="O15" s="7">
        <f t="shared" si="0"/>
        <v>-0.57880407381264132</v>
      </c>
      <c r="P15" s="8">
        <f t="shared" si="1"/>
        <v>38</v>
      </c>
      <c r="Q15" s="7">
        <f t="shared" si="2"/>
        <v>19.499200288346739</v>
      </c>
      <c r="R15" s="7">
        <f t="shared" si="3"/>
        <v>-41.171837708830544</v>
      </c>
    </row>
    <row r="16" spans="1:18" customFormat="1" ht="14.4" customHeight="1">
      <c r="A16" s="2">
        <v>45194</v>
      </c>
      <c r="B16" s="1" t="s">
        <v>14</v>
      </c>
      <c r="C16" s="3">
        <v>2479.9499999999998</v>
      </c>
      <c r="D16" s="3">
        <v>2489</v>
      </c>
      <c r="E16" s="3">
        <v>2424</v>
      </c>
      <c r="F16" s="3">
        <v>2464.9</v>
      </c>
      <c r="G16" s="3">
        <v>2484</v>
      </c>
      <c r="H16" s="3">
        <v>2482.1</v>
      </c>
      <c r="I16" s="3">
        <v>2460.35</v>
      </c>
      <c r="J16" s="3">
        <v>4190</v>
      </c>
      <c r="K16" s="3">
        <v>1017.45</v>
      </c>
      <c r="L16" s="1" t="s">
        <v>1152</v>
      </c>
      <c r="M16" s="1" t="s">
        <v>1153</v>
      </c>
      <c r="N16" s="4">
        <v>62473</v>
      </c>
      <c r="O16" s="7">
        <f t="shared" si="0"/>
        <v>0.69779707087507881</v>
      </c>
      <c r="P16" s="8">
        <f t="shared" si="1"/>
        <v>65</v>
      </c>
      <c r="Q16" s="7">
        <f t="shared" si="2"/>
        <v>19.478782834184369</v>
      </c>
      <c r="R16" s="7">
        <f t="shared" si="3"/>
        <v>-40.761336515513129</v>
      </c>
    </row>
    <row r="17" spans="1:18" customFormat="1" ht="14.4" customHeight="1">
      <c r="A17" s="2">
        <v>45195</v>
      </c>
      <c r="B17" s="1" t="s">
        <v>14</v>
      </c>
      <c r="C17" s="3">
        <v>2491</v>
      </c>
      <c r="D17" s="3">
        <v>2499</v>
      </c>
      <c r="E17" s="3">
        <v>2452.6</v>
      </c>
      <c r="F17" s="3">
        <v>2482.1</v>
      </c>
      <c r="G17" s="3">
        <v>2458.5</v>
      </c>
      <c r="H17" s="3">
        <v>2457.9499999999998</v>
      </c>
      <c r="I17" s="3">
        <v>2474.46</v>
      </c>
      <c r="J17" s="3">
        <v>4190</v>
      </c>
      <c r="K17" s="3">
        <v>1017.45</v>
      </c>
      <c r="L17" s="1" t="s">
        <v>1150</v>
      </c>
      <c r="M17" s="1" t="s">
        <v>1151</v>
      </c>
      <c r="N17" s="4">
        <v>35719</v>
      </c>
      <c r="O17" s="7">
        <f t="shared" si="0"/>
        <v>-0.9729664397083152</v>
      </c>
      <c r="P17" s="8">
        <f t="shared" si="1"/>
        <v>46.400000000000091</v>
      </c>
      <c r="Q17" s="7">
        <f t="shared" si="2"/>
        <v>19.565581343262689</v>
      </c>
      <c r="R17" s="7">
        <f t="shared" si="3"/>
        <v>-41.337708830548934</v>
      </c>
    </row>
    <row r="18" spans="1:18" customFormat="1" ht="14.4" customHeight="1">
      <c r="A18" s="2">
        <v>45196</v>
      </c>
      <c r="B18" s="1" t="s">
        <v>14</v>
      </c>
      <c r="C18" s="3">
        <v>2460</v>
      </c>
      <c r="D18" s="3">
        <v>2498</v>
      </c>
      <c r="E18" s="3">
        <v>2445.1</v>
      </c>
      <c r="F18" s="3">
        <v>2457.9499999999998</v>
      </c>
      <c r="G18" s="3">
        <v>2484</v>
      </c>
      <c r="H18" s="3">
        <v>2483.3000000000002</v>
      </c>
      <c r="I18" s="3">
        <v>2475.27</v>
      </c>
      <c r="J18" s="3">
        <v>4190</v>
      </c>
      <c r="K18" s="3">
        <v>1017.45</v>
      </c>
      <c r="L18" s="1" t="s">
        <v>1148</v>
      </c>
      <c r="M18" s="1" t="s">
        <v>1149</v>
      </c>
      <c r="N18" s="4">
        <v>42234</v>
      </c>
      <c r="O18" s="7">
        <f t="shared" si="0"/>
        <v>1.0313472609288377</v>
      </c>
      <c r="P18" s="8">
        <f t="shared" si="1"/>
        <v>52.900000000000091</v>
      </c>
      <c r="Q18" s="7">
        <f t="shared" si="2"/>
        <v>25.509613107922526</v>
      </c>
      <c r="R18" s="7">
        <f t="shared" si="3"/>
        <v>-40.732696897374701</v>
      </c>
    </row>
    <row r="19" spans="1:18" customFormat="1" ht="14.4" customHeight="1">
      <c r="A19" s="2">
        <v>45197</v>
      </c>
      <c r="B19" s="1" t="s">
        <v>14</v>
      </c>
      <c r="C19" s="3">
        <v>2489.9499999999998</v>
      </c>
      <c r="D19" s="3">
        <v>2511</v>
      </c>
      <c r="E19" s="3">
        <v>2446.6999999999998</v>
      </c>
      <c r="F19" s="3">
        <v>2483.3000000000002</v>
      </c>
      <c r="G19" s="3">
        <v>2477.1</v>
      </c>
      <c r="H19" s="3">
        <v>2475.25</v>
      </c>
      <c r="I19" s="3">
        <v>2478.59</v>
      </c>
      <c r="J19" s="3">
        <v>4190</v>
      </c>
      <c r="K19" s="3">
        <v>1017.45</v>
      </c>
      <c r="L19" s="1" t="s">
        <v>1146</v>
      </c>
      <c r="M19" s="1" t="s">
        <v>1147</v>
      </c>
      <c r="N19" s="4">
        <v>75079</v>
      </c>
      <c r="O19" s="7">
        <f t="shared" si="0"/>
        <v>-0.32416542503926959</v>
      </c>
      <c r="P19" s="8">
        <f t="shared" si="1"/>
        <v>64.300000000000182</v>
      </c>
      <c r="Q19" s="7">
        <f t="shared" si="2"/>
        <v>29.642909468692977</v>
      </c>
      <c r="R19" s="7">
        <f t="shared" si="3"/>
        <v>-40.924821002386636</v>
      </c>
    </row>
    <row r="20" spans="1:18" customFormat="1" ht="14.4" customHeight="1">
      <c r="A20" s="2">
        <v>45198</v>
      </c>
      <c r="B20" s="1" t="s">
        <v>14</v>
      </c>
      <c r="C20" s="3">
        <v>2462.0500000000002</v>
      </c>
      <c r="D20" s="3">
        <v>2479.5500000000002</v>
      </c>
      <c r="E20" s="3">
        <v>2405.0500000000002</v>
      </c>
      <c r="F20" s="3">
        <v>2475.25</v>
      </c>
      <c r="G20" s="3">
        <v>2416</v>
      </c>
      <c r="H20" s="3">
        <v>2413.9</v>
      </c>
      <c r="I20" s="3">
        <v>2430.2399999999998</v>
      </c>
      <c r="J20" s="3">
        <v>4190</v>
      </c>
      <c r="K20" s="3">
        <v>1017.45</v>
      </c>
      <c r="L20" s="1" t="s">
        <v>1144</v>
      </c>
      <c r="M20" s="1" t="s">
        <v>1145</v>
      </c>
      <c r="N20" s="4">
        <v>81407</v>
      </c>
      <c r="O20" s="7">
        <f t="shared" si="0"/>
        <v>-2.4785375214624747</v>
      </c>
      <c r="P20" s="8">
        <f t="shared" si="1"/>
        <v>74.5</v>
      </c>
      <c r="Q20" s="7">
        <f t="shared" si="2"/>
        <v>20.750070632746571</v>
      </c>
      <c r="R20" s="7">
        <f t="shared" si="3"/>
        <v>-42.389021479713598</v>
      </c>
    </row>
    <row r="21" spans="1:18" customFormat="1" ht="14.4" customHeight="1">
      <c r="A21" s="2">
        <v>45202</v>
      </c>
      <c r="B21" s="1" t="s">
        <v>14</v>
      </c>
      <c r="C21" s="3">
        <v>2418</v>
      </c>
      <c r="D21" s="3">
        <v>2424.9</v>
      </c>
      <c r="E21" s="3">
        <v>2372</v>
      </c>
      <c r="F21" s="3">
        <v>2413.9</v>
      </c>
      <c r="G21" s="3">
        <v>2387.1</v>
      </c>
      <c r="H21" s="3">
        <v>2387.25</v>
      </c>
      <c r="I21" s="3">
        <v>2395.35</v>
      </c>
      <c r="J21" s="3">
        <v>4190</v>
      </c>
      <c r="K21" s="3">
        <v>1017.45</v>
      </c>
      <c r="L21" s="1" t="s">
        <v>1142</v>
      </c>
      <c r="M21" s="1" t="s">
        <v>1143</v>
      </c>
      <c r="N21" s="4">
        <v>70447</v>
      </c>
      <c r="O21" s="7">
        <f t="shared" si="0"/>
        <v>-1.1040225361448317</v>
      </c>
      <c r="P21" s="8">
        <f t="shared" si="1"/>
        <v>52.900000000000091</v>
      </c>
      <c r="Q21" s="7">
        <f t="shared" si="2"/>
        <v>28.67260493704487</v>
      </c>
      <c r="R21" s="7">
        <f t="shared" si="3"/>
        <v>-43.025059665871126</v>
      </c>
    </row>
    <row r="22" spans="1:18" customFormat="1" ht="14.4" customHeight="1">
      <c r="A22" s="2">
        <v>45203</v>
      </c>
      <c r="B22" s="1" t="s">
        <v>14</v>
      </c>
      <c r="C22" s="3">
        <v>2402.1999999999998</v>
      </c>
      <c r="D22" s="3">
        <v>2502.75</v>
      </c>
      <c r="E22" s="3">
        <v>2392.25</v>
      </c>
      <c r="F22" s="3">
        <v>2387.25</v>
      </c>
      <c r="G22" s="3">
        <v>2464.3000000000002</v>
      </c>
      <c r="H22" s="3">
        <v>2464.9499999999998</v>
      </c>
      <c r="I22" s="3">
        <v>2451.9499999999998</v>
      </c>
      <c r="J22" s="3">
        <v>4190</v>
      </c>
      <c r="K22" s="3">
        <v>1017.45</v>
      </c>
      <c r="L22" s="1" t="s">
        <v>1139</v>
      </c>
      <c r="M22" s="1" t="s">
        <v>1140</v>
      </c>
      <c r="N22" s="1" t="s">
        <v>1141</v>
      </c>
      <c r="O22" s="7">
        <f t="shared" si="0"/>
        <v>3.2547910775997413</v>
      </c>
      <c r="P22" s="8">
        <f t="shared" si="1"/>
        <v>110.5</v>
      </c>
      <c r="Q22" s="7">
        <f t="shared" si="2"/>
        <v>22.87328893229375</v>
      </c>
      <c r="R22" s="7">
        <f t="shared" si="3"/>
        <v>-41.170644391408118</v>
      </c>
    </row>
    <row r="23" spans="1:18" customFormat="1" ht="14.4" customHeight="1">
      <c r="A23" s="2">
        <v>45204</v>
      </c>
      <c r="B23" s="1" t="s">
        <v>14</v>
      </c>
      <c r="C23" s="3">
        <v>2477.9499999999998</v>
      </c>
      <c r="D23" s="3">
        <v>2486.5</v>
      </c>
      <c r="E23" s="3">
        <v>2446.4</v>
      </c>
      <c r="F23" s="3">
        <v>2464.9499999999998</v>
      </c>
      <c r="G23" s="3">
        <v>2466</v>
      </c>
      <c r="H23" s="3">
        <v>2466.35</v>
      </c>
      <c r="I23" s="3">
        <v>2464.12</v>
      </c>
      <c r="J23" s="3">
        <v>4190</v>
      </c>
      <c r="K23" s="3">
        <v>1017.45</v>
      </c>
      <c r="L23" s="1" t="s">
        <v>1137</v>
      </c>
      <c r="M23" s="1" t="s">
        <v>1138</v>
      </c>
      <c r="N23" s="4">
        <v>64651</v>
      </c>
      <c r="O23" s="7">
        <f t="shared" si="0"/>
        <v>5.6796283900285641E-2</v>
      </c>
      <c r="P23" s="8">
        <f t="shared" si="1"/>
        <v>40.099999999999909</v>
      </c>
      <c r="Q23" s="7">
        <f t="shared" si="2"/>
        <v>17.516434393899551</v>
      </c>
      <c r="R23" s="7">
        <f t="shared" si="3"/>
        <v>-41.137231503579955</v>
      </c>
    </row>
    <row r="24" spans="1:18" customFormat="1" ht="14.4" customHeight="1">
      <c r="A24" s="2">
        <v>45205</v>
      </c>
      <c r="B24" s="1" t="s">
        <v>14</v>
      </c>
      <c r="C24" s="3">
        <v>2466.35</v>
      </c>
      <c r="D24" s="3">
        <v>2514.9499999999998</v>
      </c>
      <c r="E24" s="3">
        <v>2466.0500000000002</v>
      </c>
      <c r="F24" s="3">
        <v>2466.35</v>
      </c>
      <c r="G24" s="3">
        <v>2479.9</v>
      </c>
      <c r="H24" s="3">
        <v>2478.1</v>
      </c>
      <c r="I24" s="3">
        <v>2491.17</v>
      </c>
      <c r="J24" s="3">
        <v>4190</v>
      </c>
      <c r="K24" s="3">
        <v>1017.45</v>
      </c>
      <c r="L24" s="1" t="s">
        <v>1135</v>
      </c>
      <c r="M24" s="1" t="s">
        <v>1136</v>
      </c>
      <c r="N24" s="4">
        <v>59609</v>
      </c>
      <c r="O24" s="7">
        <f t="shared" si="0"/>
        <v>0.47641251241713461</v>
      </c>
      <c r="P24" s="8">
        <f t="shared" si="1"/>
        <v>48.899999999999636</v>
      </c>
      <c r="Q24" s="7">
        <f t="shared" si="2"/>
        <v>25.3323323659179</v>
      </c>
      <c r="R24" s="7">
        <f t="shared" si="3"/>
        <v>-40.856801909307876</v>
      </c>
    </row>
    <row r="25" spans="1:18" customFormat="1" ht="14.4" customHeight="1">
      <c r="A25" s="2">
        <v>45208</v>
      </c>
      <c r="B25" s="1" t="s">
        <v>14</v>
      </c>
      <c r="C25" s="3">
        <v>2440</v>
      </c>
      <c r="D25" s="3">
        <v>2459.6999999999998</v>
      </c>
      <c r="E25" s="3">
        <v>2411.3000000000002</v>
      </c>
      <c r="F25" s="3">
        <v>2478.1</v>
      </c>
      <c r="G25" s="3">
        <v>2440</v>
      </c>
      <c r="H25" s="3">
        <v>2442.6</v>
      </c>
      <c r="I25" s="3">
        <v>2435.04</v>
      </c>
      <c r="J25" s="3">
        <v>4190</v>
      </c>
      <c r="K25" s="3">
        <v>1017.45</v>
      </c>
      <c r="L25" s="1" t="s">
        <v>1133</v>
      </c>
      <c r="M25" s="1" t="s">
        <v>1134</v>
      </c>
      <c r="N25" s="4">
        <v>59652</v>
      </c>
      <c r="O25" s="7">
        <f t="shared" si="0"/>
        <v>-1.4325491303821476</v>
      </c>
      <c r="P25" s="8">
        <f t="shared" si="1"/>
        <v>48.399999999999636</v>
      </c>
      <c r="Q25" s="7">
        <f t="shared" si="2"/>
        <v>23.607322470327901</v>
      </c>
      <c r="R25" s="7">
        <f t="shared" si="3"/>
        <v>-41.704057279236281</v>
      </c>
    </row>
    <row r="26" spans="1:18" customFormat="1" ht="14.4" customHeight="1">
      <c r="A26" s="2">
        <v>45209</v>
      </c>
      <c r="B26" s="1" t="s">
        <v>14</v>
      </c>
      <c r="C26" s="3">
        <v>2443</v>
      </c>
      <c r="D26" s="3">
        <v>2517.9499999999998</v>
      </c>
      <c r="E26" s="3">
        <v>2443</v>
      </c>
      <c r="F26" s="3">
        <v>2442.6</v>
      </c>
      <c r="G26" s="3">
        <v>2495</v>
      </c>
      <c r="H26" s="3">
        <v>2498.3000000000002</v>
      </c>
      <c r="I26" s="3">
        <v>2492.25</v>
      </c>
      <c r="J26" s="3">
        <v>4190</v>
      </c>
      <c r="K26" s="3">
        <v>1017.45</v>
      </c>
      <c r="L26" s="1" t="s">
        <v>1131</v>
      </c>
      <c r="M26" s="1" t="s">
        <v>1132</v>
      </c>
      <c r="N26" s="4">
        <v>70051</v>
      </c>
      <c r="O26" s="7">
        <f t="shared" si="0"/>
        <v>2.2803569966429329</v>
      </c>
      <c r="P26" s="8">
        <f t="shared" si="1"/>
        <v>74.949999999999818</v>
      </c>
      <c r="Q26" s="7">
        <f t="shared" si="2"/>
        <v>25.294571098199881</v>
      </c>
      <c r="R26" s="7">
        <f t="shared" si="3"/>
        <v>-40.374701670644384</v>
      </c>
    </row>
    <row r="27" spans="1:18" customFormat="1" ht="14.4" customHeight="1">
      <c r="A27" s="2">
        <v>45210</v>
      </c>
      <c r="B27" s="1" t="s">
        <v>14</v>
      </c>
      <c r="C27" s="3">
        <v>2533.9</v>
      </c>
      <c r="D27" s="3">
        <v>2538</v>
      </c>
      <c r="E27" s="3">
        <v>2482.5</v>
      </c>
      <c r="F27" s="3">
        <v>2498.3000000000002</v>
      </c>
      <c r="G27" s="3">
        <v>2497</v>
      </c>
      <c r="H27" s="3">
        <v>2488.6</v>
      </c>
      <c r="I27" s="3">
        <v>2512.6799999999998</v>
      </c>
      <c r="J27" s="3">
        <v>4190</v>
      </c>
      <c r="K27" s="3">
        <v>1017.45</v>
      </c>
      <c r="L27" s="1" t="s">
        <v>1129</v>
      </c>
      <c r="M27" s="1" t="s">
        <v>1130</v>
      </c>
      <c r="N27" s="4">
        <v>56575</v>
      </c>
      <c r="O27" s="7">
        <f t="shared" si="0"/>
        <v>-0.38826401953329354</v>
      </c>
      <c r="P27" s="8">
        <f t="shared" si="1"/>
        <v>55.5</v>
      </c>
      <c r="Q27" s="7">
        <f t="shared" si="2"/>
        <v>28.773062306672557</v>
      </c>
      <c r="R27" s="7">
        <f t="shared" si="3"/>
        <v>-40.606205250596659</v>
      </c>
    </row>
    <row r="28" spans="1:18" customFormat="1" ht="14.4" customHeight="1">
      <c r="A28" s="2">
        <v>45211</v>
      </c>
      <c r="B28" s="1" t="s">
        <v>14</v>
      </c>
      <c r="C28" s="3">
        <v>2499.9</v>
      </c>
      <c r="D28" s="3">
        <v>2521.75</v>
      </c>
      <c r="E28" s="3">
        <v>2490.65</v>
      </c>
      <c r="F28" s="3">
        <v>2488.6</v>
      </c>
      <c r="G28" s="3">
        <v>2505.1</v>
      </c>
      <c r="H28" s="3">
        <v>2506.35</v>
      </c>
      <c r="I28" s="3">
        <v>2506.4899999999998</v>
      </c>
      <c r="J28" s="3">
        <v>4190</v>
      </c>
      <c r="K28" s="3">
        <v>1017.45</v>
      </c>
      <c r="L28" s="1" t="s">
        <v>1127</v>
      </c>
      <c r="M28" s="1" t="s">
        <v>1128</v>
      </c>
      <c r="N28" s="4">
        <v>59299</v>
      </c>
      <c r="O28" s="7">
        <f t="shared" si="0"/>
        <v>0.71325243108575098</v>
      </c>
      <c r="P28" s="8">
        <f t="shared" si="1"/>
        <v>31.099999999999909</v>
      </c>
      <c r="Q28" s="7">
        <f t="shared" si="2"/>
        <v>30.435892679471831</v>
      </c>
      <c r="R28" s="7">
        <f t="shared" si="3"/>
        <v>-40.182577565632457</v>
      </c>
    </row>
    <row r="29" spans="1:18" customFormat="1" ht="14.4" customHeight="1">
      <c r="A29" s="2">
        <v>45212</v>
      </c>
      <c r="B29" s="1" t="s">
        <v>14</v>
      </c>
      <c r="C29" s="3">
        <v>2488.9</v>
      </c>
      <c r="D29" s="3">
        <v>2495</v>
      </c>
      <c r="E29" s="3">
        <v>2422.35</v>
      </c>
      <c r="F29" s="3">
        <v>2506.35</v>
      </c>
      <c r="G29" s="3">
        <v>2449</v>
      </c>
      <c r="H29" s="3">
        <v>2454.5500000000002</v>
      </c>
      <c r="I29" s="3">
        <v>2446.5100000000002</v>
      </c>
      <c r="J29" s="3">
        <v>4190</v>
      </c>
      <c r="K29" s="3">
        <v>1017.45</v>
      </c>
      <c r="L29" s="1" t="s">
        <v>1125</v>
      </c>
      <c r="M29" s="1" t="s">
        <v>1126</v>
      </c>
      <c r="N29" s="4">
        <v>97378</v>
      </c>
      <c r="O29" s="7">
        <f t="shared" si="0"/>
        <v>-2.0667504538472175</v>
      </c>
      <c r="P29" s="8">
        <f t="shared" si="1"/>
        <v>72.650000000000091</v>
      </c>
      <c r="Q29" s="7">
        <f t="shared" si="2"/>
        <v>23.400377908767894</v>
      </c>
      <c r="R29" s="7">
        <f t="shared" si="3"/>
        <v>-41.41885441527446</v>
      </c>
    </row>
    <row r="30" spans="1:18" customFormat="1" ht="14.4" customHeight="1">
      <c r="A30" s="2">
        <v>45215</v>
      </c>
      <c r="B30" s="1" t="s">
        <v>14</v>
      </c>
      <c r="C30" s="3">
        <v>2454.5500000000002</v>
      </c>
      <c r="D30" s="3">
        <v>2464.6999999999998</v>
      </c>
      <c r="E30" s="3">
        <v>2421.85</v>
      </c>
      <c r="F30" s="3">
        <v>2454.5500000000002</v>
      </c>
      <c r="G30" s="3">
        <v>2430</v>
      </c>
      <c r="H30" s="3">
        <v>2429.35</v>
      </c>
      <c r="I30" s="3">
        <v>2447.48</v>
      </c>
      <c r="J30" s="3">
        <v>4190</v>
      </c>
      <c r="K30" s="3">
        <v>1017.45</v>
      </c>
      <c r="L30" s="1" t="s">
        <v>1123</v>
      </c>
      <c r="M30" s="1" t="s">
        <v>1124</v>
      </c>
      <c r="N30" s="4">
        <v>42165</v>
      </c>
      <c r="O30" s="7">
        <f t="shared" si="0"/>
        <v>-1.0266647654356305</v>
      </c>
      <c r="P30" s="8">
        <f t="shared" si="1"/>
        <v>42.849999999999909</v>
      </c>
      <c r="Q30" s="7">
        <f t="shared" si="2"/>
        <v>19.064532194948416</v>
      </c>
      <c r="R30" s="7">
        <f t="shared" si="3"/>
        <v>-42.02028639618139</v>
      </c>
    </row>
    <row r="31" spans="1:18" customFormat="1" ht="14.4" customHeight="1">
      <c r="A31" s="2">
        <v>45216</v>
      </c>
      <c r="B31" s="1" t="s">
        <v>14</v>
      </c>
      <c r="C31" s="3">
        <v>2459.9499999999998</v>
      </c>
      <c r="D31" s="3">
        <v>2462</v>
      </c>
      <c r="E31" s="3">
        <v>2423.5</v>
      </c>
      <c r="F31" s="3">
        <v>2429.35</v>
      </c>
      <c r="G31" s="3">
        <v>2429.8000000000002</v>
      </c>
      <c r="H31" s="3">
        <v>2428.4</v>
      </c>
      <c r="I31" s="3">
        <v>2441.19</v>
      </c>
      <c r="J31" s="3">
        <v>4190</v>
      </c>
      <c r="K31" s="3">
        <v>1017.45</v>
      </c>
      <c r="L31" s="1" t="s">
        <v>1121</v>
      </c>
      <c r="M31" s="1" t="s">
        <v>1122</v>
      </c>
      <c r="N31" s="4">
        <v>39591</v>
      </c>
      <c r="O31" s="7">
        <f t="shared" si="0"/>
        <v>-3.9105110420475361E-2</v>
      </c>
      <c r="P31" s="8">
        <f t="shared" si="1"/>
        <v>38.5</v>
      </c>
      <c r="Q31" s="7">
        <f t="shared" si="2"/>
        <v>17.871309135914728</v>
      </c>
      <c r="R31" s="7">
        <f t="shared" si="3"/>
        <v>-42.042959427207634</v>
      </c>
    </row>
    <row r="32" spans="1:18" customFormat="1" ht="14.4" customHeight="1">
      <c r="A32" s="2">
        <v>45217</v>
      </c>
      <c r="B32" s="1" t="s">
        <v>14</v>
      </c>
      <c r="C32" s="3">
        <v>2440</v>
      </c>
      <c r="D32" s="3">
        <v>2441.75</v>
      </c>
      <c r="E32" s="3">
        <v>2401.0500000000002</v>
      </c>
      <c r="F32" s="3">
        <v>2428.4</v>
      </c>
      <c r="G32" s="3">
        <v>2410</v>
      </c>
      <c r="H32" s="3">
        <v>2406.35</v>
      </c>
      <c r="I32" s="3">
        <v>2417.1799999999998</v>
      </c>
      <c r="J32" s="3">
        <v>4190</v>
      </c>
      <c r="K32" s="3">
        <v>1017.45</v>
      </c>
      <c r="L32" s="1" t="s">
        <v>1119</v>
      </c>
      <c r="M32" s="1" t="s">
        <v>1120</v>
      </c>
      <c r="N32" s="4">
        <v>40653</v>
      </c>
      <c r="O32" s="7">
        <f t="shared" si="0"/>
        <v>-0.90800527096031058</v>
      </c>
      <c r="P32" s="8">
        <f t="shared" si="1"/>
        <v>40.699999999999818</v>
      </c>
      <c r="Q32" s="7">
        <f t="shared" si="2"/>
        <v>19.112414827933979</v>
      </c>
      <c r="R32" s="7">
        <f t="shared" si="3"/>
        <v>-42.569212410501194</v>
      </c>
    </row>
    <row r="33" spans="1:18" customFormat="1" ht="14.4" customHeight="1">
      <c r="A33" s="2">
        <v>45218</v>
      </c>
      <c r="B33" s="1" t="s">
        <v>14</v>
      </c>
      <c r="C33" s="3">
        <v>2400</v>
      </c>
      <c r="D33" s="3">
        <v>2414.6999999999998</v>
      </c>
      <c r="E33" s="3">
        <v>2382.5500000000002</v>
      </c>
      <c r="F33" s="3">
        <v>2406.35</v>
      </c>
      <c r="G33" s="3">
        <v>2403.5500000000002</v>
      </c>
      <c r="H33" s="3">
        <v>2402.1999999999998</v>
      </c>
      <c r="I33" s="3">
        <v>2399</v>
      </c>
      <c r="J33" s="3">
        <v>4190</v>
      </c>
      <c r="K33" s="3">
        <v>1017.45</v>
      </c>
      <c r="L33" s="1" t="s">
        <v>1117</v>
      </c>
      <c r="M33" s="1" t="s">
        <v>1118</v>
      </c>
      <c r="N33" s="4">
        <v>67638</v>
      </c>
      <c r="O33" s="7">
        <f t="shared" si="0"/>
        <v>-0.17246036528352449</v>
      </c>
      <c r="P33" s="8">
        <f t="shared" si="1"/>
        <v>32.149999999999636</v>
      </c>
      <c r="Q33" s="7">
        <f t="shared" si="2"/>
        <v>17.280552352228039</v>
      </c>
      <c r="R33" s="7">
        <f t="shared" si="3"/>
        <v>-42.66825775656325</v>
      </c>
    </row>
    <row r="34" spans="1:18" customFormat="1" ht="14.4" customHeight="1">
      <c r="A34" s="2">
        <v>45219</v>
      </c>
      <c r="B34" s="1" t="s">
        <v>14</v>
      </c>
      <c r="C34" s="3">
        <v>2398.0500000000002</v>
      </c>
      <c r="D34" s="3">
        <v>2443.9499999999998</v>
      </c>
      <c r="E34" s="3">
        <v>2382.0500000000002</v>
      </c>
      <c r="F34" s="3">
        <v>2402.1999999999998</v>
      </c>
      <c r="G34" s="3">
        <v>2395</v>
      </c>
      <c r="H34" s="3">
        <v>2393.75</v>
      </c>
      <c r="I34" s="3">
        <v>2403.46</v>
      </c>
      <c r="J34" s="3">
        <v>4190</v>
      </c>
      <c r="K34" s="3">
        <v>1017.45</v>
      </c>
      <c r="L34" s="1" t="s">
        <v>1115</v>
      </c>
      <c r="M34" s="1" t="s">
        <v>1116</v>
      </c>
      <c r="N34" s="4">
        <v>56041</v>
      </c>
      <c r="O34" s="7">
        <f t="shared" si="0"/>
        <v>-0.35176088585462573</v>
      </c>
      <c r="P34" s="8">
        <f t="shared" si="1"/>
        <v>61.899999999999636</v>
      </c>
      <c r="Q34" s="7">
        <f t="shared" si="2"/>
        <v>22.132902696240254</v>
      </c>
      <c r="R34" s="7">
        <f t="shared" si="3"/>
        <v>-42.869928400954656</v>
      </c>
    </row>
    <row r="35" spans="1:18" customFormat="1" ht="14.4" customHeight="1">
      <c r="A35" s="2">
        <v>45222</v>
      </c>
      <c r="B35" s="1" t="s">
        <v>14</v>
      </c>
      <c r="C35" s="3">
        <v>2397.8000000000002</v>
      </c>
      <c r="D35" s="3">
        <v>2412.35</v>
      </c>
      <c r="E35" s="3">
        <v>2301.8000000000002</v>
      </c>
      <c r="F35" s="3">
        <v>2393.75</v>
      </c>
      <c r="G35" s="3">
        <v>2304.9499999999998</v>
      </c>
      <c r="H35" s="3">
        <v>2308.65</v>
      </c>
      <c r="I35" s="3">
        <v>2339.84</v>
      </c>
      <c r="J35" s="3">
        <v>4190</v>
      </c>
      <c r="K35" s="3">
        <v>1017.45</v>
      </c>
      <c r="L35" s="1" t="s">
        <v>1113</v>
      </c>
      <c r="M35" s="1" t="s">
        <v>1114</v>
      </c>
      <c r="N35" s="4">
        <v>81837</v>
      </c>
      <c r="O35" s="7">
        <f t="shared" si="0"/>
        <v>-3.5550913838120071</v>
      </c>
      <c r="P35" s="8">
        <f t="shared" si="1"/>
        <v>110.54999999999973</v>
      </c>
      <c r="Q35" s="7">
        <f t="shared" si="2"/>
        <v>18.128096093454062</v>
      </c>
      <c r="R35" s="7">
        <f t="shared" si="3"/>
        <v>-44.900954653937944</v>
      </c>
    </row>
    <row r="36" spans="1:18" customFormat="1" ht="14.4" customHeight="1">
      <c r="A36" s="2">
        <v>45224</v>
      </c>
      <c r="B36" s="1" t="s">
        <v>14</v>
      </c>
      <c r="C36" s="3">
        <v>2320</v>
      </c>
      <c r="D36" s="3">
        <v>2348.0500000000002</v>
      </c>
      <c r="E36" s="3">
        <v>2235.3000000000002</v>
      </c>
      <c r="F36" s="3">
        <v>2308.65</v>
      </c>
      <c r="G36" s="3">
        <v>2261</v>
      </c>
      <c r="H36" s="3">
        <v>2257</v>
      </c>
      <c r="I36" s="3">
        <v>2287.3200000000002</v>
      </c>
      <c r="J36" s="3">
        <v>4190</v>
      </c>
      <c r="K36" s="3">
        <v>1017.45</v>
      </c>
      <c r="L36" s="1" t="s">
        <v>1111</v>
      </c>
      <c r="M36" s="1" t="s">
        <v>1112</v>
      </c>
      <c r="N36" s="4">
        <v>79580</v>
      </c>
      <c r="O36" s="7">
        <f t="shared" si="0"/>
        <v>-2.237238212808355</v>
      </c>
      <c r="P36" s="8">
        <f t="shared" si="1"/>
        <v>112.75</v>
      </c>
      <c r="Q36" s="7">
        <f t="shared" si="2"/>
        <v>19.361887408896706</v>
      </c>
      <c r="R36" s="7">
        <f t="shared" si="3"/>
        <v>-46.133651551312646</v>
      </c>
    </row>
    <row r="37" spans="1:18" customFormat="1" ht="14.4" customHeight="1">
      <c r="A37" s="2">
        <v>45225</v>
      </c>
      <c r="B37" s="1" t="s">
        <v>14</v>
      </c>
      <c r="C37" s="3">
        <v>2249</v>
      </c>
      <c r="D37" s="3">
        <v>2249</v>
      </c>
      <c r="E37" s="3">
        <v>2167.0500000000002</v>
      </c>
      <c r="F37" s="3">
        <v>2257</v>
      </c>
      <c r="G37" s="3">
        <v>2208</v>
      </c>
      <c r="H37" s="3">
        <v>2203.1999999999998</v>
      </c>
      <c r="I37" s="3">
        <v>2202.63</v>
      </c>
      <c r="J37" s="3">
        <v>4190</v>
      </c>
      <c r="K37" s="3">
        <v>1017.45</v>
      </c>
      <c r="L37" s="1" t="s">
        <v>1108</v>
      </c>
      <c r="M37" s="1" t="s">
        <v>1109</v>
      </c>
      <c r="N37" s="1" t="s">
        <v>1110</v>
      </c>
      <c r="O37" s="7">
        <f t="shared" si="0"/>
        <v>-2.3836951705804248</v>
      </c>
      <c r="P37" s="8">
        <f t="shared" si="1"/>
        <v>81.949999999999818</v>
      </c>
      <c r="Q37" s="7">
        <f t="shared" si="2"/>
        <v>17.286262298391794</v>
      </c>
      <c r="R37" s="7">
        <f t="shared" si="3"/>
        <v>-47.417661097852033</v>
      </c>
    </row>
    <row r="38" spans="1:18" customFormat="1" ht="14.4" customHeight="1">
      <c r="A38" s="2">
        <v>45226</v>
      </c>
      <c r="B38" s="1" t="s">
        <v>14</v>
      </c>
      <c r="C38" s="3">
        <v>2222</v>
      </c>
      <c r="D38" s="3">
        <v>2275</v>
      </c>
      <c r="E38" s="3">
        <v>2212</v>
      </c>
      <c r="F38" s="3">
        <v>2203.1999999999998</v>
      </c>
      <c r="G38" s="3">
        <v>2259.8000000000002</v>
      </c>
      <c r="H38" s="3">
        <v>2261.6999999999998</v>
      </c>
      <c r="I38" s="3">
        <v>2246.4899999999998</v>
      </c>
      <c r="J38" s="3">
        <v>4190</v>
      </c>
      <c r="K38" s="3">
        <v>1017.45</v>
      </c>
      <c r="L38" s="1" t="s">
        <v>1106</v>
      </c>
      <c r="M38" s="1" t="s">
        <v>1107</v>
      </c>
      <c r="N38" s="4">
        <v>63625</v>
      </c>
      <c r="O38" s="7">
        <f t="shared" si="0"/>
        <v>2.655228758169935</v>
      </c>
      <c r="P38" s="8">
        <f t="shared" si="1"/>
        <v>63</v>
      </c>
      <c r="Q38" s="7">
        <f t="shared" si="2"/>
        <v>19.556667976424361</v>
      </c>
      <c r="R38" s="7">
        <f t="shared" si="3"/>
        <v>-46.021479713603824</v>
      </c>
    </row>
    <row r="39" spans="1:18" customFormat="1" ht="14.4" customHeight="1">
      <c r="A39" s="2">
        <v>45229</v>
      </c>
      <c r="B39" s="1" t="s">
        <v>14</v>
      </c>
      <c r="C39" s="3">
        <v>2260.0500000000002</v>
      </c>
      <c r="D39" s="3">
        <v>2305</v>
      </c>
      <c r="E39" s="3">
        <v>2250</v>
      </c>
      <c r="F39" s="3">
        <v>2261.6999999999998</v>
      </c>
      <c r="G39" s="3">
        <v>2294.5500000000002</v>
      </c>
      <c r="H39" s="3">
        <v>2299.1</v>
      </c>
      <c r="I39" s="3">
        <v>2286.4299999999998</v>
      </c>
      <c r="J39" s="3">
        <v>4190</v>
      </c>
      <c r="K39" s="3">
        <v>1017.45</v>
      </c>
      <c r="L39" s="1" t="s">
        <v>1104</v>
      </c>
      <c r="M39" s="1" t="s">
        <v>1105</v>
      </c>
      <c r="N39" s="4">
        <v>53630</v>
      </c>
      <c r="O39" s="7">
        <f t="shared" si="0"/>
        <v>1.6536233806428835</v>
      </c>
      <c r="P39" s="8">
        <f t="shared" si="1"/>
        <v>55</v>
      </c>
      <c r="Q39" s="7">
        <f t="shared" si="2"/>
        <v>18.580048480328173</v>
      </c>
      <c r="R39" s="7">
        <f t="shared" si="3"/>
        <v>-45.128878281622917</v>
      </c>
    </row>
    <row r="40" spans="1:18" customFormat="1" ht="14.4" customHeight="1">
      <c r="A40" s="2">
        <v>45230</v>
      </c>
      <c r="B40" s="1" t="s">
        <v>14</v>
      </c>
      <c r="C40" s="3">
        <v>2320</v>
      </c>
      <c r="D40" s="3">
        <v>2320</v>
      </c>
      <c r="E40" s="3">
        <v>2276</v>
      </c>
      <c r="F40" s="3">
        <v>2299.1</v>
      </c>
      <c r="G40" s="3">
        <v>2297</v>
      </c>
      <c r="H40" s="3">
        <v>2294.65</v>
      </c>
      <c r="I40" s="3">
        <v>2294.7600000000002</v>
      </c>
      <c r="J40" s="3">
        <v>4190</v>
      </c>
      <c r="K40" s="3">
        <v>1017.45</v>
      </c>
      <c r="L40" s="1" t="s">
        <v>1102</v>
      </c>
      <c r="M40" s="1" t="s">
        <v>1103</v>
      </c>
      <c r="N40" s="4">
        <v>52388</v>
      </c>
      <c r="O40" s="7">
        <f t="shared" si="0"/>
        <v>-0.19355399939105816</v>
      </c>
      <c r="P40" s="8">
        <f t="shared" si="1"/>
        <v>44</v>
      </c>
      <c r="Q40" s="7">
        <f t="shared" si="2"/>
        <v>22.05237840726884</v>
      </c>
      <c r="R40" s="7">
        <f t="shared" si="3"/>
        <v>-45.235083532219569</v>
      </c>
    </row>
    <row r="41" spans="1:18" customFormat="1" ht="14.4" customHeight="1">
      <c r="A41" s="2">
        <v>45231</v>
      </c>
      <c r="B41" s="1" t="s">
        <v>14</v>
      </c>
      <c r="C41" s="3">
        <v>2299</v>
      </c>
      <c r="D41" s="3">
        <v>2312.25</v>
      </c>
      <c r="E41" s="3">
        <v>2207</v>
      </c>
      <c r="F41" s="3">
        <v>2294.65</v>
      </c>
      <c r="G41" s="3">
        <v>2215.9</v>
      </c>
      <c r="H41" s="3">
        <v>2217.3000000000002</v>
      </c>
      <c r="I41" s="3">
        <v>2253.36</v>
      </c>
      <c r="J41" s="3">
        <v>4190</v>
      </c>
      <c r="K41" s="3">
        <v>1017.45</v>
      </c>
      <c r="L41" s="1" t="s">
        <v>1100</v>
      </c>
      <c r="M41" s="1" t="s">
        <v>1101</v>
      </c>
      <c r="N41" s="4">
        <v>79883</v>
      </c>
      <c r="O41" s="7">
        <f t="shared" si="0"/>
        <v>-3.3708844486087166</v>
      </c>
      <c r="P41" s="8">
        <f t="shared" si="1"/>
        <v>105.25</v>
      </c>
      <c r="Q41" s="7">
        <f t="shared" si="2"/>
        <v>20.862749270808557</v>
      </c>
      <c r="R41" s="7">
        <f t="shared" si="3"/>
        <v>-47.081145584725533</v>
      </c>
    </row>
    <row r="42" spans="1:18" customFormat="1" ht="14.4" customHeight="1">
      <c r="A42" s="2">
        <v>45232</v>
      </c>
      <c r="B42" s="1" t="s">
        <v>14</v>
      </c>
      <c r="C42" s="3">
        <v>2247</v>
      </c>
      <c r="D42" s="3">
        <v>2297.9499999999998</v>
      </c>
      <c r="E42" s="3">
        <v>2204.1999999999998</v>
      </c>
      <c r="F42" s="3">
        <v>2217.3000000000002</v>
      </c>
      <c r="G42" s="3">
        <v>2214</v>
      </c>
      <c r="H42" s="3">
        <v>2215.3000000000002</v>
      </c>
      <c r="I42" s="3">
        <v>2247.0700000000002</v>
      </c>
      <c r="J42" s="3">
        <v>4190</v>
      </c>
      <c r="K42" s="3">
        <v>1017.45</v>
      </c>
      <c r="L42" s="1" t="s">
        <v>1097</v>
      </c>
      <c r="M42" s="1" t="s">
        <v>1098</v>
      </c>
      <c r="N42" s="1" t="s">
        <v>1099</v>
      </c>
      <c r="O42" s="7">
        <f t="shared" si="0"/>
        <v>-9.019979254047715E-2</v>
      </c>
      <c r="P42" s="8">
        <f t="shared" si="1"/>
        <v>93.75</v>
      </c>
      <c r="Q42" s="7">
        <f t="shared" si="2"/>
        <v>18.415356901244476</v>
      </c>
      <c r="R42" s="7">
        <f t="shared" si="3"/>
        <v>-47.128878281622903</v>
      </c>
    </row>
    <row r="43" spans="1:18" customFormat="1" ht="14.4" customHeight="1">
      <c r="A43" s="2">
        <v>45233</v>
      </c>
      <c r="B43" s="1" t="s">
        <v>14</v>
      </c>
      <c r="C43" s="3">
        <v>2215.3000000000002</v>
      </c>
      <c r="D43" s="3">
        <v>2279</v>
      </c>
      <c r="E43" s="3">
        <v>2215</v>
      </c>
      <c r="F43" s="3">
        <v>2215.3000000000002</v>
      </c>
      <c r="G43" s="3">
        <v>2229.25</v>
      </c>
      <c r="H43" s="3">
        <v>2229.85</v>
      </c>
      <c r="I43" s="3">
        <v>2244.27</v>
      </c>
      <c r="J43" s="3">
        <v>4190</v>
      </c>
      <c r="K43" s="3">
        <v>1017.45</v>
      </c>
      <c r="L43" s="1" t="s">
        <v>1095</v>
      </c>
      <c r="M43" s="1" t="s">
        <v>1096</v>
      </c>
      <c r="N43" s="4">
        <v>82880</v>
      </c>
      <c r="O43" s="7">
        <f t="shared" si="0"/>
        <v>0.65679591928857162</v>
      </c>
      <c r="P43" s="8">
        <f t="shared" si="1"/>
        <v>64</v>
      </c>
      <c r="Q43" s="7">
        <f t="shared" si="2"/>
        <v>22.361245173745175</v>
      </c>
      <c r="R43" s="7">
        <f t="shared" si="3"/>
        <v>-46.781622911694512</v>
      </c>
    </row>
    <row r="44" spans="1:18" customFormat="1" ht="14.4" customHeight="1">
      <c r="A44" s="2">
        <v>45236</v>
      </c>
      <c r="B44" s="1" t="s">
        <v>14</v>
      </c>
      <c r="C44" s="3">
        <v>2253.9499999999998</v>
      </c>
      <c r="D44" s="3">
        <v>2260</v>
      </c>
      <c r="E44" s="3">
        <v>2233</v>
      </c>
      <c r="F44" s="3">
        <v>2229.85</v>
      </c>
      <c r="G44" s="3">
        <v>2245.1</v>
      </c>
      <c r="H44" s="3">
        <v>2246</v>
      </c>
      <c r="I44" s="3">
        <v>2244.88</v>
      </c>
      <c r="J44" s="3">
        <v>4190</v>
      </c>
      <c r="K44" s="3">
        <v>1017.45</v>
      </c>
      <c r="L44" s="1" t="s">
        <v>1093</v>
      </c>
      <c r="M44" s="1" t="s">
        <v>1094</v>
      </c>
      <c r="N44" s="4">
        <v>43846</v>
      </c>
      <c r="O44" s="7">
        <f t="shared" si="0"/>
        <v>0.72426396394376713</v>
      </c>
      <c r="P44" s="8">
        <f t="shared" si="1"/>
        <v>27</v>
      </c>
      <c r="Q44" s="7">
        <f t="shared" si="2"/>
        <v>17.562856360899513</v>
      </c>
      <c r="R44" s="7">
        <f t="shared" si="3"/>
        <v>-46.396181384248209</v>
      </c>
    </row>
    <row r="45" spans="1:18" customFormat="1" ht="14.4" customHeight="1">
      <c r="A45" s="2">
        <v>45237</v>
      </c>
      <c r="B45" s="1" t="s">
        <v>14</v>
      </c>
      <c r="C45" s="3">
        <v>2257</v>
      </c>
      <c r="D45" s="3">
        <v>2260</v>
      </c>
      <c r="E45" s="3">
        <v>2226.65</v>
      </c>
      <c r="F45" s="3">
        <v>2246</v>
      </c>
      <c r="G45" s="3">
        <v>2235.4499999999998</v>
      </c>
      <c r="H45" s="3">
        <v>2233.35</v>
      </c>
      <c r="I45" s="3">
        <v>2240.69</v>
      </c>
      <c r="J45" s="3">
        <v>4190</v>
      </c>
      <c r="K45" s="3">
        <v>1017.45</v>
      </c>
      <c r="L45" s="1" t="s">
        <v>1091</v>
      </c>
      <c r="M45" s="1" t="s">
        <v>1092</v>
      </c>
      <c r="N45" s="4">
        <v>33475</v>
      </c>
      <c r="O45" s="7">
        <f t="shared" si="0"/>
        <v>-0.56322350845948754</v>
      </c>
      <c r="P45" s="8">
        <f t="shared" si="1"/>
        <v>33.349999999999909</v>
      </c>
      <c r="Q45" s="7">
        <f t="shared" si="2"/>
        <v>19.165168035847646</v>
      </c>
      <c r="R45" s="7">
        <f t="shared" si="3"/>
        <v>-46.698090692124104</v>
      </c>
    </row>
    <row r="46" spans="1:18" customFormat="1" ht="14.4" customHeight="1">
      <c r="A46" s="2">
        <v>45238</v>
      </c>
      <c r="B46" s="1" t="s">
        <v>14</v>
      </c>
      <c r="C46" s="3">
        <v>2245.3000000000002</v>
      </c>
      <c r="D46" s="3">
        <v>2298</v>
      </c>
      <c r="E46" s="3">
        <v>2235</v>
      </c>
      <c r="F46" s="3">
        <v>2233.35</v>
      </c>
      <c r="G46" s="3">
        <v>2259</v>
      </c>
      <c r="H46" s="3">
        <v>2259.9499999999998</v>
      </c>
      <c r="I46" s="3">
        <v>2263.84</v>
      </c>
      <c r="J46" s="3">
        <v>4190</v>
      </c>
      <c r="K46" s="3">
        <v>1017.45</v>
      </c>
      <c r="L46" s="1" t="s">
        <v>1089</v>
      </c>
      <c r="M46" s="1" t="s">
        <v>1090</v>
      </c>
      <c r="N46" s="4">
        <v>58323</v>
      </c>
      <c r="O46" s="7">
        <f t="shared" si="0"/>
        <v>1.1910358877918781</v>
      </c>
      <c r="P46" s="8">
        <f t="shared" si="1"/>
        <v>63</v>
      </c>
      <c r="Q46" s="7">
        <f t="shared" si="2"/>
        <v>20.046636832810382</v>
      </c>
      <c r="R46" s="7">
        <f t="shared" si="3"/>
        <v>-46.063245823389025</v>
      </c>
    </row>
    <row r="47" spans="1:18" customFormat="1" ht="14.4" customHeight="1">
      <c r="A47" s="2">
        <v>45239</v>
      </c>
      <c r="B47" s="1" t="s">
        <v>14</v>
      </c>
      <c r="C47" s="3">
        <v>2269</v>
      </c>
      <c r="D47" s="3">
        <v>2272.6</v>
      </c>
      <c r="E47" s="3">
        <v>2210.1</v>
      </c>
      <c r="F47" s="3">
        <v>2259.9499999999998</v>
      </c>
      <c r="G47" s="3">
        <v>2219.9499999999998</v>
      </c>
      <c r="H47" s="3">
        <v>2214.65</v>
      </c>
      <c r="I47" s="3">
        <v>2231.38</v>
      </c>
      <c r="J47" s="3">
        <v>4190</v>
      </c>
      <c r="K47" s="3">
        <v>1017.45</v>
      </c>
      <c r="L47" s="1" t="s">
        <v>1087</v>
      </c>
      <c r="M47" s="1" t="s">
        <v>1088</v>
      </c>
      <c r="N47" s="4">
        <v>63026</v>
      </c>
      <c r="O47" s="7">
        <f t="shared" si="0"/>
        <v>-2.0044691254231171</v>
      </c>
      <c r="P47" s="8">
        <f t="shared" si="1"/>
        <v>62.5</v>
      </c>
      <c r="Q47" s="7">
        <f t="shared" si="2"/>
        <v>20.116935867737123</v>
      </c>
      <c r="R47" s="7">
        <f t="shared" si="3"/>
        <v>-47.144391408114558</v>
      </c>
    </row>
    <row r="48" spans="1:18" customFormat="1" ht="14.4" customHeight="1">
      <c r="A48" s="2">
        <v>45240</v>
      </c>
      <c r="B48" s="1" t="s">
        <v>14</v>
      </c>
      <c r="C48" s="3">
        <v>2220.25</v>
      </c>
      <c r="D48" s="3">
        <v>2237</v>
      </c>
      <c r="E48" s="3">
        <v>2198.5</v>
      </c>
      <c r="F48" s="3">
        <v>2214.65</v>
      </c>
      <c r="G48" s="3">
        <v>2209</v>
      </c>
      <c r="H48" s="3">
        <v>2205.1</v>
      </c>
      <c r="I48" s="3">
        <v>2214.5500000000002</v>
      </c>
      <c r="J48" s="3">
        <v>4190</v>
      </c>
      <c r="K48" s="3">
        <v>1017.45</v>
      </c>
      <c r="L48" s="1" t="s">
        <v>1085</v>
      </c>
      <c r="M48" s="1" t="s">
        <v>1086</v>
      </c>
      <c r="N48" s="4">
        <v>45963</v>
      </c>
      <c r="O48" s="7">
        <f t="shared" si="0"/>
        <v>-0.43121938003748589</v>
      </c>
      <c r="P48" s="8">
        <f t="shared" si="1"/>
        <v>38.5</v>
      </c>
      <c r="Q48" s="7">
        <f t="shared" si="2"/>
        <v>23.336096425385637</v>
      </c>
      <c r="R48" s="7">
        <f t="shared" si="3"/>
        <v>-47.372315035799524</v>
      </c>
    </row>
    <row r="49" spans="1:18" customFormat="1" ht="14.4" customHeight="1">
      <c r="A49" s="2">
        <v>45242</v>
      </c>
      <c r="B49" s="1" t="s">
        <v>14</v>
      </c>
      <c r="C49" s="3">
        <v>2219.6999999999998</v>
      </c>
      <c r="D49" s="3">
        <v>2226</v>
      </c>
      <c r="E49" s="3">
        <v>2205.1</v>
      </c>
      <c r="F49" s="3">
        <v>2205.1</v>
      </c>
      <c r="G49" s="3">
        <v>2207.5</v>
      </c>
      <c r="H49" s="3">
        <v>2211.35</v>
      </c>
      <c r="I49" s="3">
        <v>2215.9</v>
      </c>
      <c r="J49" s="3">
        <v>4190</v>
      </c>
      <c r="K49" s="3">
        <v>1017.45</v>
      </c>
      <c r="L49" s="1" t="s">
        <v>1083</v>
      </c>
      <c r="M49" s="1" t="s">
        <v>1084</v>
      </c>
      <c r="N49" s="4">
        <v>9273</v>
      </c>
      <c r="O49" s="7">
        <f t="shared" si="0"/>
        <v>0.28343385787492636</v>
      </c>
      <c r="P49" s="8">
        <f t="shared" si="1"/>
        <v>20.900000000000091</v>
      </c>
      <c r="Q49" s="7">
        <f t="shared" si="2"/>
        <v>15.994823681656422</v>
      </c>
      <c r="R49" s="7">
        <f t="shared" si="3"/>
        <v>-47.22315035799523</v>
      </c>
    </row>
    <row r="50" spans="1:18" customFormat="1" ht="14.4" customHeight="1">
      <c r="A50" s="2">
        <v>45243</v>
      </c>
      <c r="B50" s="1" t="s">
        <v>14</v>
      </c>
      <c r="C50" s="3">
        <v>2215.5</v>
      </c>
      <c r="D50" s="3">
        <v>2241.9</v>
      </c>
      <c r="E50" s="3">
        <v>2195.5500000000002</v>
      </c>
      <c r="F50" s="3">
        <v>2211.35</v>
      </c>
      <c r="G50" s="3">
        <v>2218</v>
      </c>
      <c r="H50" s="3">
        <v>2213.65</v>
      </c>
      <c r="I50" s="3">
        <v>2212.7600000000002</v>
      </c>
      <c r="J50" s="3">
        <v>4190</v>
      </c>
      <c r="K50" s="3">
        <v>1017.45</v>
      </c>
      <c r="L50" s="1" t="s">
        <v>1081</v>
      </c>
      <c r="M50" s="1" t="s">
        <v>1082</v>
      </c>
      <c r="N50" s="4">
        <v>42537</v>
      </c>
      <c r="O50" s="7">
        <f t="shared" si="0"/>
        <v>0.10400886336401664</v>
      </c>
      <c r="P50" s="8">
        <f t="shared" si="1"/>
        <v>46.349999999999909</v>
      </c>
      <c r="Q50" s="7">
        <f t="shared" si="2"/>
        <v>20.068011378329455</v>
      </c>
      <c r="R50" s="7">
        <f t="shared" si="3"/>
        <v>-47.168257756563243</v>
      </c>
    </row>
    <row r="51" spans="1:18" customFormat="1" ht="14.4" customHeight="1">
      <c r="A51" s="2">
        <v>45245</v>
      </c>
      <c r="B51" s="1" t="s">
        <v>14</v>
      </c>
      <c r="C51" s="3">
        <v>2240</v>
      </c>
      <c r="D51" s="3">
        <v>2250</v>
      </c>
      <c r="E51" s="3">
        <v>2220.5</v>
      </c>
      <c r="F51" s="3">
        <v>2213.65</v>
      </c>
      <c r="G51" s="3">
        <v>2223.9499999999998</v>
      </c>
      <c r="H51" s="3">
        <v>2225.4</v>
      </c>
      <c r="I51" s="3">
        <v>2228.39</v>
      </c>
      <c r="J51" s="3">
        <v>4190</v>
      </c>
      <c r="K51" s="3">
        <v>1017.45</v>
      </c>
      <c r="L51" s="1" t="s">
        <v>1079</v>
      </c>
      <c r="M51" s="1" t="s">
        <v>1080</v>
      </c>
      <c r="N51" s="4">
        <v>33170</v>
      </c>
      <c r="O51" s="7">
        <f t="shared" si="0"/>
        <v>0.53079755155512387</v>
      </c>
      <c r="P51" s="8">
        <f t="shared" si="1"/>
        <v>29.5</v>
      </c>
      <c r="Q51" s="7">
        <f t="shared" si="2"/>
        <v>20.997135966234548</v>
      </c>
      <c r="R51" s="7">
        <f t="shared" si="3"/>
        <v>-46.887828162291164</v>
      </c>
    </row>
    <row r="52" spans="1:18" customFormat="1" ht="14.4" customHeight="1">
      <c r="A52" s="2">
        <v>45246</v>
      </c>
      <c r="B52" s="1" t="s">
        <v>14</v>
      </c>
      <c r="C52" s="3">
        <v>2226</v>
      </c>
      <c r="D52" s="3">
        <v>2232.8000000000002</v>
      </c>
      <c r="E52" s="3">
        <v>2196.1</v>
      </c>
      <c r="F52" s="3">
        <v>2225.4</v>
      </c>
      <c r="G52" s="3">
        <v>2203</v>
      </c>
      <c r="H52" s="3">
        <v>2205.9</v>
      </c>
      <c r="I52" s="3">
        <v>2211.42</v>
      </c>
      <c r="J52" s="3">
        <v>4190</v>
      </c>
      <c r="K52" s="3">
        <v>1017.45</v>
      </c>
      <c r="L52" s="1" t="s">
        <v>1077</v>
      </c>
      <c r="M52" s="1" t="s">
        <v>1078</v>
      </c>
      <c r="N52" s="4">
        <v>73917</v>
      </c>
      <c r="O52" s="7">
        <f t="shared" si="0"/>
        <v>-0.87624696683742243</v>
      </c>
      <c r="P52" s="8">
        <f t="shared" si="1"/>
        <v>36.700000000000273</v>
      </c>
      <c r="Q52" s="7">
        <f t="shared" si="2"/>
        <v>17.689895423244991</v>
      </c>
      <c r="R52" s="7">
        <f t="shared" si="3"/>
        <v>-47.353221957040567</v>
      </c>
    </row>
    <row r="53" spans="1:18" customFormat="1" ht="14.4" customHeight="1">
      <c r="A53" s="2">
        <v>45247</v>
      </c>
      <c r="B53" s="1" t="s">
        <v>14</v>
      </c>
      <c r="C53" s="3">
        <v>2205.9</v>
      </c>
      <c r="D53" s="3">
        <v>2237.9499999999998</v>
      </c>
      <c r="E53" s="3">
        <v>2201</v>
      </c>
      <c r="F53" s="3">
        <v>2205.9</v>
      </c>
      <c r="G53" s="3">
        <v>2209</v>
      </c>
      <c r="H53" s="3">
        <v>2208.8000000000002</v>
      </c>
      <c r="I53" s="3">
        <v>2216.3200000000002</v>
      </c>
      <c r="J53" s="3">
        <v>4190</v>
      </c>
      <c r="K53" s="3">
        <v>1017.45</v>
      </c>
      <c r="L53" s="1" t="s">
        <v>1075</v>
      </c>
      <c r="M53" s="1" t="s">
        <v>1076</v>
      </c>
      <c r="N53" s="4">
        <v>43810</v>
      </c>
      <c r="O53" s="7">
        <f t="shared" si="0"/>
        <v>0.13146561494175124</v>
      </c>
      <c r="P53" s="8">
        <f t="shared" si="1"/>
        <v>36.949999999999818</v>
      </c>
      <c r="Q53" s="7">
        <f t="shared" si="2"/>
        <v>20.920292170737273</v>
      </c>
      <c r="R53" s="7">
        <f t="shared" si="3"/>
        <v>-47.284009546539373</v>
      </c>
    </row>
    <row r="54" spans="1:18" customFormat="1" ht="14.4" customHeight="1">
      <c r="A54" s="2">
        <v>45250</v>
      </c>
      <c r="B54" s="1" t="s">
        <v>14</v>
      </c>
      <c r="C54" s="3">
        <v>2211</v>
      </c>
      <c r="D54" s="3">
        <v>2218.5</v>
      </c>
      <c r="E54" s="3">
        <v>2142</v>
      </c>
      <c r="F54" s="3">
        <v>2208.8000000000002</v>
      </c>
      <c r="G54" s="3">
        <v>2151</v>
      </c>
      <c r="H54" s="3">
        <v>2149.85</v>
      </c>
      <c r="I54" s="3">
        <v>2173.6999999999998</v>
      </c>
      <c r="J54" s="3">
        <v>4190</v>
      </c>
      <c r="K54" s="3">
        <v>1017.45</v>
      </c>
      <c r="L54" s="1" t="s">
        <v>1073</v>
      </c>
      <c r="M54" s="1" t="s">
        <v>1074</v>
      </c>
      <c r="N54" s="4">
        <v>78926</v>
      </c>
      <c r="O54" s="7">
        <f t="shared" si="0"/>
        <v>-2.6688699746468791</v>
      </c>
      <c r="P54" s="8">
        <f t="shared" si="1"/>
        <v>76.5</v>
      </c>
      <c r="Q54" s="7">
        <f t="shared" si="2"/>
        <v>19.983440184476599</v>
      </c>
      <c r="R54" s="7">
        <f t="shared" si="3"/>
        <v>-48.690930787589501</v>
      </c>
    </row>
    <row r="55" spans="1:18" customFormat="1" ht="14.4" customHeight="1">
      <c r="A55" s="2">
        <v>45251</v>
      </c>
      <c r="B55" s="1" t="s">
        <v>14</v>
      </c>
      <c r="C55" s="3">
        <v>2160</v>
      </c>
      <c r="D55" s="3">
        <v>2232.5500000000002</v>
      </c>
      <c r="E55" s="3">
        <v>2158.35</v>
      </c>
      <c r="F55" s="3">
        <v>2149.85</v>
      </c>
      <c r="G55" s="3">
        <v>2197.6</v>
      </c>
      <c r="H55" s="3">
        <v>2196.65</v>
      </c>
      <c r="I55" s="3">
        <v>2207.0700000000002</v>
      </c>
      <c r="J55" s="3">
        <v>4190</v>
      </c>
      <c r="K55" s="3">
        <v>1017.45</v>
      </c>
      <c r="L55" s="1" t="s">
        <v>1071</v>
      </c>
      <c r="M55" s="1" t="s">
        <v>1072</v>
      </c>
      <c r="N55" s="4">
        <v>90480</v>
      </c>
      <c r="O55" s="7">
        <f t="shared" si="0"/>
        <v>2.1768960625159979</v>
      </c>
      <c r="P55" s="8">
        <f t="shared" si="1"/>
        <v>74.200000000000273</v>
      </c>
      <c r="Q55" s="7">
        <f t="shared" si="2"/>
        <v>20.330481874447393</v>
      </c>
      <c r="R55" s="7">
        <f t="shared" si="3"/>
        <v>-47.57398568019093</v>
      </c>
    </row>
    <row r="56" spans="1:18" customFormat="1" ht="14.4" customHeight="1">
      <c r="A56" s="2">
        <v>45252</v>
      </c>
      <c r="B56" s="1" t="s">
        <v>14</v>
      </c>
      <c r="C56" s="3">
        <v>2205.15</v>
      </c>
      <c r="D56" s="3">
        <v>2225</v>
      </c>
      <c r="E56" s="3">
        <v>2153.5</v>
      </c>
      <c r="F56" s="3">
        <v>2196.65</v>
      </c>
      <c r="G56" s="3">
        <v>2175</v>
      </c>
      <c r="H56" s="3">
        <v>2172.65</v>
      </c>
      <c r="I56" s="3">
        <v>2175.4499999999998</v>
      </c>
      <c r="J56" s="3">
        <v>4190</v>
      </c>
      <c r="K56" s="3">
        <v>1017.45</v>
      </c>
      <c r="L56" s="1" t="s">
        <v>1069</v>
      </c>
      <c r="M56" s="1" t="s">
        <v>1070</v>
      </c>
      <c r="N56" s="4">
        <v>58112</v>
      </c>
      <c r="O56" s="7">
        <f t="shared" si="0"/>
        <v>-1.0925727812805863</v>
      </c>
      <c r="P56" s="8">
        <f t="shared" si="1"/>
        <v>71.5</v>
      </c>
      <c r="Q56" s="7">
        <f t="shared" si="2"/>
        <v>21.462090446035241</v>
      </c>
      <c r="R56" s="7">
        <f t="shared" si="3"/>
        <v>-48.146778042959426</v>
      </c>
    </row>
    <row r="57" spans="1:18" customFormat="1" ht="14.4" customHeight="1">
      <c r="A57" s="2">
        <v>45253</v>
      </c>
      <c r="B57" s="1" t="s">
        <v>14</v>
      </c>
      <c r="C57" s="3">
        <v>2190</v>
      </c>
      <c r="D57" s="3">
        <v>2190</v>
      </c>
      <c r="E57" s="3">
        <v>2160.6</v>
      </c>
      <c r="F57" s="3">
        <v>2172.65</v>
      </c>
      <c r="G57" s="3">
        <v>2179</v>
      </c>
      <c r="H57" s="3">
        <v>2175.25</v>
      </c>
      <c r="I57" s="3">
        <v>2176.85</v>
      </c>
      <c r="J57" s="3">
        <v>4190</v>
      </c>
      <c r="K57" s="3">
        <v>1017.45</v>
      </c>
      <c r="L57" s="1" t="s">
        <v>1067</v>
      </c>
      <c r="M57" s="1" t="s">
        <v>1068</v>
      </c>
      <c r="N57" s="4">
        <v>38958</v>
      </c>
      <c r="O57" s="7">
        <f t="shared" si="0"/>
        <v>0.11966952799576135</v>
      </c>
      <c r="P57" s="8">
        <f t="shared" si="1"/>
        <v>29.400000000000091</v>
      </c>
      <c r="Q57" s="7">
        <f t="shared" si="2"/>
        <v>18.715385800092406</v>
      </c>
      <c r="R57" s="7">
        <f t="shared" si="3"/>
        <v>-48.084725536992842</v>
      </c>
    </row>
    <row r="58" spans="1:18" customFormat="1" ht="14.4" customHeight="1">
      <c r="A58" s="2">
        <v>45254</v>
      </c>
      <c r="B58" s="1" t="s">
        <v>14</v>
      </c>
      <c r="C58" s="3">
        <v>2179</v>
      </c>
      <c r="D58" s="3">
        <v>2251.9499999999998</v>
      </c>
      <c r="E58" s="3">
        <v>2160.9</v>
      </c>
      <c r="F58" s="3">
        <v>2175.25</v>
      </c>
      <c r="G58" s="3">
        <v>2250</v>
      </c>
      <c r="H58" s="3">
        <v>2225.4499999999998</v>
      </c>
      <c r="I58" s="3">
        <v>2206.04</v>
      </c>
      <c r="J58" s="3">
        <v>4190</v>
      </c>
      <c r="K58" s="3">
        <v>1017.45</v>
      </c>
      <c r="L58" s="1" t="s">
        <v>1065</v>
      </c>
      <c r="M58" s="1" t="s">
        <v>1066</v>
      </c>
      <c r="N58" s="4">
        <v>91515</v>
      </c>
      <c r="O58" s="7">
        <f t="shared" si="0"/>
        <v>2.3077807148603524</v>
      </c>
      <c r="P58" s="8">
        <f t="shared" si="1"/>
        <v>91.049999999999727</v>
      </c>
      <c r="Q58" s="7">
        <f t="shared" si="2"/>
        <v>21.267103753483035</v>
      </c>
      <c r="R58" s="7">
        <f t="shared" si="3"/>
        <v>-46.886634844868738</v>
      </c>
    </row>
    <row r="59" spans="1:18" customFormat="1" ht="14.4" customHeight="1">
      <c r="A59" s="2">
        <v>45258</v>
      </c>
      <c r="B59" s="1" t="s">
        <v>14</v>
      </c>
      <c r="C59" s="3">
        <v>2301</v>
      </c>
      <c r="D59" s="3">
        <v>2512.4</v>
      </c>
      <c r="E59" s="3">
        <v>2275</v>
      </c>
      <c r="F59" s="3">
        <v>2225.4499999999998</v>
      </c>
      <c r="G59" s="3">
        <v>2430</v>
      </c>
      <c r="H59" s="3">
        <v>2423.5</v>
      </c>
      <c r="I59" s="3">
        <v>2416.12</v>
      </c>
      <c r="J59" s="3">
        <v>4190</v>
      </c>
      <c r="K59" s="3">
        <v>1017.45</v>
      </c>
      <c r="L59" s="1" t="s">
        <v>1062</v>
      </c>
      <c r="M59" s="1" t="s">
        <v>1063</v>
      </c>
      <c r="N59" s="1" t="s">
        <v>1064</v>
      </c>
      <c r="O59" s="7">
        <f t="shared" si="0"/>
        <v>8.8993237322788747</v>
      </c>
      <c r="P59" s="8">
        <f t="shared" si="1"/>
        <v>237.40000000000009</v>
      </c>
      <c r="Q59" s="7">
        <f t="shared" si="2"/>
        <v>27.869591835784554</v>
      </c>
      <c r="R59" s="7">
        <f t="shared" si="3"/>
        <v>-42.159904534606206</v>
      </c>
    </row>
    <row r="60" spans="1:18" customFormat="1" ht="14.4" customHeight="1">
      <c r="A60" s="2">
        <v>45259</v>
      </c>
      <c r="B60" s="1" t="s">
        <v>14</v>
      </c>
      <c r="C60" s="3">
        <v>2468.6999999999998</v>
      </c>
      <c r="D60" s="3">
        <v>2477.65</v>
      </c>
      <c r="E60" s="3">
        <v>2390</v>
      </c>
      <c r="F60" s="3">
        <v>2423.5</v>
      </c>
      <c r="G60" s="3">
        <v>2394</v>
      </c>
      <c r="H60" s="3">
        <v>2396.6</v>
      </c>
      <c r="I60" s="3">
        <v>2429.9899999999998</v>
      </c>
      <c r="J60" s="3">
        <v>4190</v>
      </c>
      <c r="K60" s="3">
        <v>1017.45</v>
      </c>
      <c r="L60" s="1" t="s">
        <v>1059</v>
      </c>
      <c r="M60" s="1" t="s">
        <v>1060</v>
      </c>
      <c r="N60" s="1" t="s">
        <v>1061</v>
      </c>
      <c r="O60" s="7">
        <f t="shared" si="0"/>
        <v>-1.1099649267588236</v>
      </c>
      <c r="P60" s="8">
        <f t="shared" si="1"/>
        <v>87.650000000000091</v>
      </c>
      <c r="Q60" s="7">
        <f t="shared" si="2"/>
        <v>25.775390735362258</v>
      </c>
      <c r="R60" s="7">
        <f t="shared" si="3"/>
        <v>-42.801909307875896</v>
      </c>
    </row>
    <row r="61" spans="1:18" customFormat="1" ht="14.4" customHeight="1">
      <c r="A61" s="2">
        <v>45260</v>
      </c>
      <c r="B61" s="1" t="s">
        <v>14</v>
      </c>
      <c r="C61" s="3">
        <v>2400.0500000000002</v>
      </c>
      <c r="D61" s="3">
        <v>2409</v>
      </c>
      <c r="E61" s="3">
        <v>2343.0500000000002</v>
      </c>
      <c r="F61" s="3">
        <v>2396.6</v>
      </c>
      <c r="G61" s="3">
        <v>2365.5</v>
      </c>
      <c r="H61" s="3">
        <v>2358.5500000000002</v>
      </c>
      <c r="I61" s="3">
        <v>2361.69</v>
      </c>
      <c r="J61" s="3">
        <v>4190</v>
      </c>
      <c r="K61" s="3">
        <v>1017.45</v>
      </c>
      <c r="L61" s="1" t="s">
        <v>1056</v>
      </c>
      <c r="M61" s="1" t="s">
        <v>1057</v>
      </c>
      <c r="N61" s="1" t="s">
        <v>1058</v>
      </c>
      <c r="O61" s="7">
        <f t="shared" si="0"/>
        <v>-1.5876658599682771</v>
      </c>
      <c r="P61" s="8">
        <f t="shared" si="1"/>
        <v>65.949999999999818</v>
      </c>
      <c r="Q61" s="7">
        <f t="shared" si="2"/>
        <v>23.146455361367742</v>
      </c>
      <c r="R61" s="7">
        <f t="shared" si="3"/>
        <v>-43.710023866348443</v>
      </c>
    </row>
    <row r="62" spans="1:18" customFormat="1" ht="14.4" customHeight="1">
      <c r="A62" s="2">
        <v>45261</v>
      </c>
      <c r="B62" s="1" t="s">
        <v>14</v>
      </c>
      <c r="C62" s="3">
        <v>2370</v>
      </c>
      <c r="D62" s="3">
        <v>2403.35</v>
      </c>
      <c r="E62" s="3">
        <v>2354.1</v>
      </c>
      <c r="F62" s="3">
        <v>2358.5500000000002</v>
      </c>
      <c r="G62" s="3">
        <v>2359</v>
      </c>
      <c r="H62" s="3">
        <v>2362.6999999999998</v>
      </c>
      <c r="I62" s="3">
        <v>2372.38</v>
      </c>
      <c r="J62" s="3">
        <v>4190</v>
      </c>
      <c r="K62" s="3">
        <v>1017.45</v>
      </c>
      <c r="L62" s="1" t="s">
        <v>1054</v>
      </c>
      <c r="M62" s="1" t="s">
        <v>1055</v>
      </c>
      <c r="N62" s="4">
        <v>79854</v>
      </c>
      <c r="O62" s="7">
        <f t="shared" si="0"/>
        <v>0.17595556591972339</v>
      </c>
      <c r="P62" s="8">
        <f t="shared" si="1"/>
        <v>49.25</v>
      </c>
      <c r="Q62" s="7">
        <f t="shared" si="2"/>
        <v>22.45326470809227</v>
      </c>
      <c r="R62" s="7">
        <f t="shared" si="3"/>
        <v>-43.610978520286402</v>
      </c>
    </row>
    <row r="63" spans="1:18" customFormat="1" ht="14.4" customHeight="1">
      <c r="A63" s="2">
        <v>45264</v>
      </c>
      <c r="B63" s="1" t="s">
        <v>14</v>
      </c>
      <c r="C63" s="3">
        <v>2549.9499999999998</v>
      </c>
      <c r="D63" s="3">
        <v>2595</v>
      </c>
      <c r="E63" s="3">
        <v>2487.4499999999998</v>
      </c>
      <c r="F63" s="3">
        <v>2362.6999999999998</v>
      </c>
      <c r="G63" s="3">
        <v>2523</v>
      </c>
      <c r="H63" s="3">
        <v>2531.1999999999998</v>
      </c>
      <c r="I63" s="3">
        <v>2529.8000000000002</v>
      </c>
      <c r="J63" s="3">
        <v>4190</v>
      </c>
      <c r="K63" s="3">
        <v>1017.45</v>
      </c>
      <c r="L63" s="1" t="s">
        <v>1051</v>
      </c>
      <c r="M63" s="1" t="s">
        <v>1052</v>
      </c>
      <c r="N63" s="1" t="s">
        <v>1053</v>
      </c>
      <c r="O63" s="7">
        <f t="shared" si="0"/>
        <v>7.1316713928979567</v>
      </c>
      <c r="P63" s="8">
        <f t="shared" si="1"/>
        <v>107.55000000000018</v>
      </c>
      <c r="Q63" s="7">
        <f t="shared" si="2"/>
        <v>25.030469107954747</v>
      </c>
      <c r="R63" s="7">
        <f t="shared" si="3"/>
        <v>-39.589498806682585</v>
      </c>
    </row>
    <row r="64" spans="1:18" customFormat="1" ht="14.4" customHeight="1">
      <c r="A64" s="2">
        <v>45265</v>
      </c>
      <c r="B64" s="1" t="s">
        <v>14</v>
      </c>
      <c r="C64" s="3">
        <v>2531.1999999999998</v>
      </c>
      <c r="D64" s="3">
        <v>2999.9</v>
      </c>
      <c r="E64" s="3">
        <v>2531.1999999999998</v>
      </c>
      <c r="F64" s="3">
        <v>2531.1999999999998</v>
      </c>
      <c r="G64" s="3">
        <v>2971</v>
      </c>
      <c r="H64" s="3">
        <v>2959.35</v>
      </c>
      <c r="I64" s="3">
        <v>2804.15</v>
      </c>
      <c r="J64" s="3">
        <v>4190</v>
      </c>
      <c r="K64" s="3">
        <v>1017.45</v>
      </c>
      <c r="L64" s="1" t="s">
        <v>1048</v>
      </c>
      <c r="M64" s="1" t="s">
        <v>1049</v>
      </c>
      <c r="N64" s="1" t="s">
        <v>1050</v>
      </c>
      <c r="O64" s="7">
        <f t="shared" si="0"/>
        <v>16.91490202275601</v>
      </c>
      <c r="P64" s="8">
        <f t="shared" si="1"/>
        <v>468.70000000000027</v>
      </c>
      <c r="Q64" s="7">
        <f t="shared" si="2"/>
        <v>30.363580020809444</v>
      </c>
      <c r="R64" s="7">
        <f t="shared" si="3"/>
        <v>-29.37112171837709</v>
      </c>
    </row>
    <row r="65" spans="1:18" customFormat="1" ht="14.4" customHeight="1">
      <c r="A65" s="2">
        <v>45266</v>
      </c>
      <c r="B65" s="1" t="s">
        <v>14</v>
      </c>
      <c r="C65" s="3">
        <v>3080</v>
      </c>
      <c r="D65" s="3">
        <v>3154.55</v>
      </c>
      <c r="E65" s="3">
        <v>2844.85</v>
      </c>
      <c r="F65" s="3">
        <v>2959.35</v>
      </c>
      <c r="G65" s="3">
        <v>2893</v>
      </c>
      <c r="H65" s="3">
        <v>2883.95</v>
      </c>
      <c r="I65" s="3">
        <v>2987.51</v>
      </c>
      <c r="J65" s="3">
        <v>4190</v>
      </c>
      <c r="K65" s="3">
        <v>1017.45</v>
      </c>
      <c r="L65" s="1" t="s">
        <v>1045</v>
      </c>
      <c r="M65" s="1" t="s">
        <v>1046</v>
      </c>
      <c r="N65" s="1" t="s">
        <v>1047</v>
      </c>
      <c r="O65" s="7">
        <f t="shared" si="0"/>
        <v>-2.5478567928768174</v>
      </c>
      <c r="P65" s="8">
        <f t="shared" si="1"/>
        <v>309.70000000000027</v>
      </c>
      <c r="Q65" s="7">
        <f t="shared" si="2"/>
        <v>24.795993087377546</v>
      </c>
      <c r="R65" s="7">
        <f t="shared" si="3"/>
        <v>-31.170644391408121</v>
      </c>
    </row>
    <row r="66" spans="1:18" customFormat="1" ht="14.4" customHeight="1">
      <c r="A66" s="2">
        <v>45267</v>
      </c>
      <c r="B66" s="1" t="s">
        <v>14</v>
      </c>
      <c r="C66" s="3">
        <v>2900</v>
      </c>
      <c r="D66" s="3">
        <v>2945.9</v>
      </c>
      <c r="E66" s="3">
        <v>2853.05</v>
      </c>
      <c r="F66" s="3">
        <v>2883.95</v>
      </c>
      <c r="G66" s="3">
        <v>2892.3</v>
      </c>
      <c r="H66" s="3">
        <v>2887.15</v>
      </c>
      <c r="I66" s="3">
        <v>2898.6</v>
      </c>
      <c r="J66" s="3">
        <v>4190</v>
      </c>
      <c r="K66" s="3">
        <v>1017.45</v>
      </c>
      <c r="L66" s="1" t="s">
        <v>1042</v>
      </c>
      <c r="M66" s="1" t="s">
        <v>1043</v>
      </c>
      <c r="N66" s="1" t="s">
        <v>1044</v>
      </c>
      <c r="O66" s="7">
        <f t="shared" ref="O66:O129" si="4">((H66-F66)/F66)*100</f>
        <v>0.11095892785936902</v>
      </c>
      <c r="P66" s="8">
        <f t="shared" ref="P66:P129" si="5">(D66-E66)</f>
        <v>92.849999999999909</v>
      </c>
      <c r="Q66" s="7">
        <f t="shared" ref="Q66:Q129" si="6">IF(N66=0,0,L66/N66)</f>
        <v>23.850121590287859</v>
      </c>
      <c r="R66" s="7">
        <f t="shared" ref="R66:R129" si="7">((H66-J66)/J66)*100</f>
        <v>-31.094272076372313</v>
      </c>
    </row>
    <row r="67" spans="1:18" customFormat="1" ht="14.4" customHeight="1">
      <c r="A67" s="2">
        <v>45268</v>
      </c>
      <c r="B67" s="1" t="s">
        <v>14</v>
      </c>
      <c r="C67" s="3">
        <v>2902.7</v>
      </c>
      <c r="D67" s="3">
        <v>2927</v>
      </c>
      <c r="E67" s="3">
        <v>2760</v>
      </c>
      <c r="F67" s="3">
        <v>2887.15</v>
      </c>
      <c r="G67" s="3">
        <v>2829.9</v>
      </c>
      <c r="H67" s="3">
        <v>2822.15</v>
      </c>
      <c r="I67" s="3">
        <v>2839.19</v>
      </c>
      <c r="J67" s="3">
        <v>4190</v>
      </c>
      <c r="K67" s="3">
        <v>1017.45</v>
      </c>
      <c r="L67" s="1" t="s">
        <v>1039</v>
      </c>
      <c r="M67" s="1" t="s">
        <v>1040</v>
      </c>
      <c r="N67" s="1" t="s">
        <v>1041</v>
      </c>
      <c r="O67" s="7">
        <f t="shared" si="4"/>
        <v>-2.2513551426146892</v>
      </c>
      <c r="P67" s="8">
        <f t="shared" si="5"/>
        <v>167</v>
      </c>
      <c r="Q67" s="7">
        <f t="shared" si="6"/>
        <v>24.057341376151545</v>
      </c>
      <c r="R67" s="7">
        <f t="shared" si="7"/>
        <v>-32.645584725536992</v>
      </c>
    </row>
    <row r="68" spans="1:18" customFormat="1" ht="14.4" customHeight="1">
      <c r="A68" s="2">
        <v>45271</v>
      </c>
      <c r="B68" s="1" t="s">
        <v>14</v>
      </c>
      <c r="C68" s="3">
        <v>2837.05</v>
      </c>
      <c r="D68" s="3">
        <v>2919.9</v>
      </c>
      <c r="E68" s="3">
        <v>2811.05</v>
      </c>
      <c r="F68" s="3">
        <v>2822.15</v>
      </c>
      <c r="G68" s="3">
        <v>2862</v>
      </c>
      <c r="H68" s="3">
        <v>2855.8</v>
      </c>
      <c r="I68" s="3">
        <v>2867.92</v>
      </c>
      <c r="J68" s="3">
        <v>4190</v>
      </c>
      <c r="K68" s="3">
        <v>1017.45</v>
      </c>
      <c r="L68" s="1" t="s">
        <v>1036</v>
      </c>
      <c r="M68" s="1" t="s">
        <v>1037</v>
      </c>
      <c r="N68" s="1" t="s">
        <v>1038</v>
      </c>
      <c r="O68" s="7">
        <f t="shared" si="4"/>
        <v>1.192353347625041</v>
      </c>
      <c r="P68" s="8">
        <f t="shared" si="5"/>
        <v>108.84999999999991</v>
      </c>
      <c r="Q68" s="7">
        <f t="shared" si="6"/>
        <v>24.959820790473703</v>
      </c>
      <c r="R68" s="7">
        <f t="shared" si="7"/>
        <v>-31.842482100238662</v>
      </c>
    </row>
    <row r="69" spans="1:18" customFormat="1" ht="14.4" customHeight="1">
      <c r="A69" s="2">
        <v>45272</v>
      </c>
      <c r="B69" s="1" t="s">
        <v>14</v>
      </c>
      <c r="C69" s="3">
        <v>2869.1</v>
      </c>
      <c r="D69" s="3">
        <v>2895.95</v>
      </c>
      <c r="E69" s="3">
        <v>2840.55</v>
      </c>
      <c r="F69" s="3">
        <v>2855.8</v>
      </c>
      <c r="G69" s="3">
        <v>2855</v>
      </c>
      <c r="H69" s="3">
        <v>2857.65</v>
      </c>
      <c r="I69" s="3">
        <v>2864.57</v>
      </c>
      <c r="J69" s="3">
        <v>4190</v>
      </c>
      <c r="K69" s="3">
        <v>1017.45</v>
      </c>
      <c r="L69" s="1" t="s">
        <v>1034</v>
      </c>
      <c r="M69" s="1" t="s">
        <v>1035</v>
      </c>
      <c r="N69" s="4">
        <v>91033</v>
      </c>
      <c r="O69" s="7">
        <f t="shared" si="4"/>
        <v>6.4780446809997505E-2</v>
      </c>
      <c r="P69" s="8">
        <f t="shared" si="5"/>
        <v>55.399999999999636</v>
      </c>
      <c r="Q69" s="7">
        <f t="shared" si="6"/>
        <v>22.165280722375403</v>
      </c>
      <c r="R69" s="7">
        <f t="shared" si="7"/>
        <v>-31.79832935560859</v>
      </c>
    </row>
    <row r="70" spans="1:18" customFormat="1" ht="14.4" customHeight="1">
      <c r="A70" s="2">
        <v>45273</v>
      </c>
      <c r="B70" s="1" t="s">
        <v>14</v>
      </c>
      <c r="C70" s="3">
        <v>2860</v>
      </c>
      <c r="D70" s="3">
        <v>2899.1</v>
      </c>
      <c r="E70" s="3">
        <v>2805</v>
      </c>
      <c r="F70" s="3">
        <v>2857.65</v>
      </c>
      <c r="G70" s="3">
        <v>2887</v>
      </c>
      <c r="H70" s="3">
        <v>2875.05</v>
      </c>
      <c r="I70" s="3">
        <v>2854.75</v>
      </c>
      <c r="J70" s="3">
        <v>4190</v>
      </c>
      <c r="K70" s="3">
        <v>1017.45</v>
      </c>
      <c r="L70" s="1" t="s">
        <v>1031</v>
      </c>
      <c r="M70" s="1" t="s">
        <v>1032</v>
      </c>
      <c r="N70" s="1" t="s">
        <v>1033</v>
      </c>
      <c r="O70" s="7">
        <f t="shared" si="4"/>
        <v>0.60889192168390427</v>
      </c>
      <c r="P70" s="8">
        <f t="shared" si="5"/>
        <v>94.099999999999909</v>
      </c>
      <c r="Q70" s="7">
        <f t="shared" si="6"/>
        <v>23.591107822694557</v>
      </c>
      <c r="R70" s="7">
        <f t="shared" si="7"/>
        <v>-31.383054892601425</v>
      </c>
    </row>
    <row r="71" spans="1:18" customFormat="1" ht="14.4" customHeight="1">
      <c r="A71" s="2">
        <v>45274</v>
      </c>
      <c r="B71" s="1" t="s">
        <v>14</v>
      </c>
      <c r="C71" s="3">
        <v>2900.95</v>
      </c>
      <c r="D71" s="3">
        <v>2932.95</v>
      </c>
      <c r="E71" s="3">
        <v>2887</v>
      </c>
      <c r="F71" s="3">
        <v>2875.05</v>
      </c>
      <c r="G71" s="3">
        <v>2893</v>
      </c>
      <c r="H71" s="3">
        <v>2894.05</v>
      </c>
      <c r="I71" s="3">
        <v>2908.68</v>
      </c>
      <c r="J71" s="3">
        <v>4190</v>
      </c>
      <c r="K71" s="3">
        <v>1017.45</v>
      </c>
      <c r="L71" s="1" t="s">
        <v>1028</v>
      </c>
      <c r="M71" s="1" t="s">
        <v>1029</v>
      </c>
      <c r="N71" s="1" t="s">
        <v>1030</v>
      </c>
      <c r="O71" s="7">
        <f t="shared" si="4"/>
        <v>0.66085807203352975</v>
      </c>
      <c r="P71" s="8">
        <f t="shared" si="5"/>
        <v>45.949999999999818</v>
      </c>
      <c r="Q71" s="7">
        <f t="shared" si="6"/>
        <v>23.001562121060815</v>
      </c>
      <c r="R71" s="7">
        <f t="shared" si="7"/>
        <v>-30.929594272076365</v>
      </c>
    </row>
    <row r="72" spans="1:18" customFormat="1" ht="14.4" customHeight="1">
      <c r="A72" s="2">
        <v>45275</v>
      </c>
      <c r="B72" s="1" t="s">
        <v>14</v>
      </c>
      <c r="C72" s="3">
        <v>2912.05</v>
      </c>
      <c r="D72" s="3">
        <v>3000</v>
      </c>
      <c r="E72" s="3">
        <v>2893.9</v>
      </c>
      <c r="F72" s="3">
        <v>2894.05</v>
      </c>
      <c r="G72" s="3">
        <v>2987</v>
      </c>
      <c r="H72" s="3">
        <v>2991.8</v>
      </c>
      <c r="I72" s="3">
        <v>2962.62</v>
      </c>
      <c r="J72" s="3">
        <v>4190</v>
      </c>
      <c r="K72" s="3">
        <v>1017.45</v>
      </c>
      <c r="L72" s="1" t="s">
        <v>1025</v>
      </c>
      <c r="M72" s="1" t="s">
        <v>1026</v>
      </c>
      <c r="N72" s="1" t="s">
        <v>1027</v>
      </c>
      <c r="O72" s="7">
        <f t="shared" si="4"/>
        <v>3.3776195988320863</v>
      </c>
      <c r="P72" s="8">
        <f t="shared" si="5"/>
        <v>106.09999999999991</v>
      </c>
      <c r="Q72" s="7">
        <f t="shared" si="6"/>
        <v>27.267954301164632</v>
      </c>
      <c r="R72" s="7">
        <f t="shared" si="7"/>
        <v>-28.596658711217181</v>
      </c>
    </row>
    <row r="73" spans="1:18" customFormat="1" ht="14.4" customHeight="1">
      <c r="A73" s="2">
        <v>45278</v>
      </c>
      <c r="B73" s="1" t="s">
        <v>14</v>
      </c>
      <c r="C73" s="3">
        <v>2993.95</v>
      </c>
      <c r="D73" s="3">
        <v>3027.75</v>
      </c>
      <c r="E73" s="3">
        <v>2961.1</v>
      </c>
      <c r="F73" s="3">
        <v>2991.8</v>
      </c>
      <c r="G73" s="3">
        <v>2974</v>
      </c>
      <c r="H73" s="3">
        <v>2980.6</v>
      </c>
      <c r="I73" s="3">
        <v>2993.07</v>
      </c>
      <c r="J73" s="3">
        <v>4190</v>
      </c>
      <c r="K73" s="3">
        <v>1017.45</v>
      </c>
      <c r="L73" s="1" t="s">
        <v>1022</v>
      </c>
      <c r="M73" s="1" t="s">
        <v>1023</v>
      </c>
      <c r="N73" s="1" t="s">
        <v>1024</v>
      </c>
      <c r="O73" s="7">
        <f t="shared" si="4"/>
        <v>-0.37435657463735117</v>
      </c>
      <c r="P73" s="8">
        <f t="shared" si="5"/>
        <v>66.650000000000091</v>
      </c>
      <c r="Q73" s="7">
        <f t="shared" si="6"/>
        <v>23.128459149331388</v>
      </c>
      <c r="R73" s="7">
        <f t="shared" si="7"/>
        <v>-28.863961813842486</v>
      </c>
    </row>
    <row r="74" spans="1:18" customFormat="1" ht="14.4" customHeight="1">
      <c r="A74" s="2">
        <v>45279</v>
      </c>
      <c r="B74" s="1" t="s">
        <v>14</v>
      </c>
      <c r="C74" s="3">
        <v>2988.8</v>
      </c>
      <c r="D74" s="3">
        <v>2994.35</v>
      </c>
      <c r="E74" s="3">
        <v>2915</v>
      </c>
      <c r="F74" s="3">
        <v>2980.6</v>
      </c>
      <c r="G74" s="3">
        <v>2940</v>
      </c>
      <c r="H74" s="3">
        <v>2941.25</v>
      </c>
      <c r="I74" s="3">
        <v>2950.36</v>
      </c>
      <c r="J74" s="3">
        <v>4190</v>
      </c>
      <c r="K74" s="3">
        <v>1017.45</v>
      </c>
      <c r="L74" s="1" t="s">
        <v>1020</v>
      </c>
      <c r="M74" s="1" t="s">
        <v>1021</v>
      </c>
      <c r="N74" s="4">
        <v>81742</v>
      </c>
      <c r="O74" s="7">
        <f t="shared" si="4"/>
        <v>-1.3202039857746732</v>
      </c>
      <c r="P74" s="8">
        <f t="shared" si="5"/>
        <v>79.349999999999909</v>
      </c>
      <c r="Q74" s="7">
        <f t="shared" si="6"/>
        <v>21.304751535318442</v>
      </c>
      <c r="R74" s="7">
        <f t="shared" si="7"/>
        <v>-29.80310262529833</v>
      </c>
    </row>
    <row r="75" spans="1:18" customFormat="1" ht="14.4" customHeight="1">
      <c r="A75" s="2">
        <v>45280</v>
      </c>
      <c r="B75" s="1" t="s">
        <v>14</v>
      </c>
      <c r="C75" s="3">
        <v>2946</v>
      </c>
      <c r="D75" s="3">
        <v>2968</v>
      </c>
      <c r="E75" s="3">
        <v>2766.2</v>
      </c>
      <c r="F75" s="3">
        <v>2941.25</v>
      </c>
      <c r="G75" s="3">
        <v>2775</v>
      </c>
      <c r="H75" s="3">
        <v>2783.85</v>
      </c>
      <c r="I75" s="3">
        <v>2870.07</v>
      </c>
      <c r="J75" s="3">
        <v>4190</v>
      </c>
      <c r="K75" s="3">
        <v>1017.45</v>
      </c>
      <c r="L75" s="1" t="s">
        <v>1017</v>
      </c>
      <c r="M75" s="1" t="s">
        <v>1018</v>
      </c>
      <c r="N75" s="1" t="s">
        <v>1019</v>
      </c>
      <c r="O75" s="7">
        <f t="shared" si="4"/>
        <v>-5.3514662133446693</v>
      </c>
      <c r="P75" s="8">
        <f t="shared" si="5"/>
        <v>201.80000000000018</v>
      </c>
      <c r="Q75" s="7">
        <f t="shared" si="6"/>
        <v>19.947466104810985</v>
      </c>
      <c r="R75" s="7">
        <f t="shared" si="7"/>
        <v>-33.559665871121716</v>
      </c>
    </row>
    <row r="76" spans="1:18" customFormat="1" ht="14.4" customHeight="1">
      <c r="A76" s="2">
        <v>45281</v>
      </c>
      <c r="B76" s="1" t="s">
        <v>14</v>
      </c>
      <c r="C76" s="3">
        <v>2750</v>
      </c>
      <c r="D76" s="3">
        <v>2821.95</v>
      </c>
      <c r="E76" s="3">
        <v>2725</v>
      </c>
      <c r="F76" s="3">
        <v>2783.85</v>
      </c>
      <c r="G76" s="3">
        <v>2812.9</v>
      </c>
      <c r="H76" s="3">
        <v>2799.75</v>
      </c>
      <c r="I76" s="3">
        <v>2788.43</v>
      </c>
      <c r="J76" s="3">
        <v>4190</v>
      </c>
      <c r="K76" s="3">
        <v>1017.45</v>
      </c>
      <c r="L76" s="1" t="s">
        <v>1014</v>
      </c>
      <c r="M76" s="1" t="s">
        <v>1015</v>
      </c>
      <c r="N76" s="1" t="s">
        <v>1016</v>
      </c>
      <c r="O76" s="7">
        <f t="shared" si="4"/>
        <v>0.57115146290209928</v>
      </c>
      <c r="P76" s="8">
        <f t="shared" si="5"/>
        <v>96.949999999999818</v>
      </c>
      <c r="Q76" s="7">
        <f t="shared" si="6"/>
        <v>19.238366455746206</v>
      </c>
      <c r="R76" s="7">
        <f t="shared" si="7"/>
        <v>-33.180190930787589</v>
      </c>
    </row>
    <row r="77" spans="1:18" customFormat="1" ht="14.4" customHeight="1">
      <c r="A77" s="2">
        <v>45282</v>
      </c>
      <c r="B77" s="1" t="s">
        <v>14</v>
      </c>
      <c r="C77" s="3">
        <v>2815.95</v>
      </c>
      <c r="D77" s="3">
        <v>2847.6</v>
      </c>
      <c r="E77" s="3">
        <v>2791.4</v>
      </c>
      <c r="F77" s="3">
        <v>2799.75</v>
      </c>
      <c r="G77" s="3">
        <v>2806</v>
      </c>
      <c r="H77" s="3">
        <v>2808.35</v>
      </c>
      <c r="I77" s="3">
        <v>2819.62</v>
      </c>
      <c r="J77" s="3">
        <v>4190</v>
      </c>
      <c r="K77" s="3">
        <v>1017.45</v>
      </c>
      <c r="L77" s="1" t="s">
        <v>1012</v>
      </c>
      <c r="M77" s="1" t="s">
        <v>1013</v>
      </c>
      <c r="N77" s="4">
        <v>76777</v>
      </c>
      <c r="O77" s="7">
        <f t="shared" si="4"/>
        <v>0.30717028306098432</v>
      </c>
      <c r="P77" s="8">
        <f t="shared" si="5"/>
        <v>56.199999999999818</v>
      </c>
      <c r="Q77" s="7">
        <f t="shared" si="6"/>
        <v>19.718874141995649</v>
      </c>
      <c r="R77" s="7">
        <f t="shared" si="7"/>
        <v>-32.974940334128881</v>
      </c>
    </row>
    <row r="78" spans="1:18" customFormat="1" ht="14.4" customHeight="1">
      <c r="A78" s="2">
        <v>45286</v>
      </c>
      <c r="B78" s="1" t="s">
        <v>14</v>
      </c>
      <c r="C78" s="3">
        <v>2817</v>
      </c>
      <c r="D78" s="3">
        <v>2893.75</v>
      </c>
      <c r="E78" s="3">
        <v>2800.1</v>
      </c>
      <c r="F78" s="3">
        <v>2808.35</v>
      </c>
      <c r="G78" s="3">
        <v>2877.05</v>
      </c>
      <c r="H78" s="3">
        <v>2865.45</v>
      </c>
      <c r="I78" s="3">
        <v>2859.55</v>
      </c>
      <c r="J78" s="3">
        <v>3898</v>
      </c>
      <c r="K78" s="3">
        <v>1017.45</v>
      </c>
      <c r="L78" s="1" t="s">
        <v>1009</v>
      </c>
      <c r="M78" s="1" t="s">
        <v>1010</v>
      </c>
      <c r="N78" s="1" t="s">
        <v>1011</v>
      </c>
      <c r="O78" s="7">
        <f t="shared" si="4"/>
        <v>2.03322235476347</v>
      </c>
      <c r="P78" s="8">
        <f t="shared" si="5"/>
        <v>93.650000000000091</v>
      </c>
      <c r="Q78" s="7">
        <f t="shared" si="6"/>
        <v>16.418870828123499</v>
      </c>
      <c r="R78" s="7">
        <f t="shared" si="7"/>
        <v>-26.489225243714731</v>
      </c>
    </row>
    <row r="79" spans="1:18" customFormat="1" ht="14.4" customHeight="1">
      <c r="A79" s="2">
        <v>45287</v>
      </c>
      <c r="B79" s="1" t="s">
        <v>14</v>
      </c>
      <c r="C79" s="3">
        <v>2880.7</v>
      </c>
      <c r="D79" s="3">
        <v>2894.8</v>
      </c>
      <c r="E79" s="3">
        <v>2833.6</v>
      </c>
      <c r="F79" s="3">
        <v>2865.45</v>
      </c>
      <c r="G79" s="3">
        <v>2846</v>
      </c>
      <c r="H79" s="3">
        <v>2843.35</v>
      </c>
      <c r="I79" s="3">
        <v>2854.23</v>
      </c>
      <c r="J79" s="3">
        <v>3898</v>
      </c>
      <c r="K79" s="3">
        <v>1017.45</v>
      </c>
      <c r="L79" s="1" t="s">
        <v>1007</v>
      </c>
      <c r="M79" s="1" t="s">
        <v>1008</v>
      </c>
      <c r="N79" s="4">
        <v>96864</v>
      </c>
      <c r="O79" s="7">
        <f t="shared" si="4"/>
        <v>-0.77125756861923644</v>
      </c>
      <c r="P79" s="8">
        <f t="shared" si="5"/>
        <v>61.200000000000273</v>
      </c>
      <c r="Q79" s="7">
        <f t="shared" si="6"/>
        <v>17.533087628014535</v>
      </c>
      <c r="R79" s="7">
        <f t="shared" si="7"/>
        <v>-27.056182657773221</v>
      </c>
    </row>
    <row r="80" spans="1:18" customFormat="1" ht="14.4" customHeight="1">
      <c r="A80" s="2">
        <v>45288</v>
      </c>
      <c r="B80" s="1" t="s">
        <v>14</v>
      </c>
      <c r="C80" s="3">
        <v>2855</v>
      </c>
      <c r="D80" s="3">
        <v>2867.35</v>
      </c>
      <c r="E80" s="3">
        <v>2800.1</v>
      </c>
      <c r="F80" s="3">
        <v>2843.35</v>
      </c>
      <c r="G80" s="3">
        <v>2816.9</v>
      </c>
      <c r="H80" s="3">
        <v>2809.9</v>
      </c>
      <c r="I80" s="3">
        <v>2818.51</v>
      </c>
      <c r="J80" s="3">
        <v>3898</v>
      </c>
      <c r="K80" s="3">
        <v>1017.45</v>
      </c>
      <c r="L80" s="1" t="s">
        <v>1004</v>
      </c>
      <c r="M80" s="1" t="s">
        <v>1005</v>
      </c>
      <c r="N80" s="1" t="s">
        <v>1006</v>
      </c>
      <c r="O80" s="7">
        <f t="shared" si="4"/>
        <v>-1.1764292120210251</v>
      </c>
      <c r="P80" s="8">
        <f t="shared" si="5"/>
        <v>67.25</v>
      </c>
      <c r="Q80" s="7">
        <f t="shared" si="6"/>
        <v>37.965318774868138</v>
      </c>
      <c r="R80" s="7">
        <f t="shared" si="7"/>
        <v>-27.914315033350434</v>
      </c>
    </row>
    <row r="81" spans="1:18" customFormat="1" ht="14.4" customHeight="1">
      <c r="A81" s="2">
        <v>45289</v>
      </c>
      <c r="B81" s="1" t="s">
        <v>14</v>
      </c>
      <c r="C81" s="3">
        <v>2823.9</v>
      </c>
      <c r="D81" s="3">
        <v>2863.3</v>
      </c>
      <c r="E81" s="3">
        <v>2802.85</v>
      </c>
      <c r="F81" s="3">
        <v>2809.9</v>
      </c>
      <c r="G81" s="3">
        <v>2849.05</v>
      </c>
      <c r="H81" s="3">
        <v>2848.95</v>
      </c>
      <c r="I81" s="3">
        <v>2838.38</v>
      </c>
      <c r="J81" s="3">
        <v>3898</v>
      </c>
      <c r="K81" s="3">
        <v>1017.45</v>
      </c>
      <c r="L81" s="1" t="s">
        <v>1002</v>
      </c>
      <c r="M81" s="1" t="s">
        <v>1003</v>
      </c>
      <c r="N81" s="4">
        <v>65085</v>
      </c>
      <c r="O81" s="7">
        <f t="shared" si="4"/>
        <v>1.38972917185664</v>
      </c>
      <c r="P81" s="8">
        <f t="shared" si="5"/>
        <v>60.450000000000273</v>
      </c>
      <c r="Q81" s="7">
        <f t="shared" si="6"/>
        <v>23.155657985710992</v>
      </c>
      <c r="R81" s="7">
        <f t="shared" si="7"/>
        <v>-26.912519240636229</v>
      </c>
    </row>
    <row r="82" spans="1:18" customFormat="1" ht="14.4" customHeight="1">
      <c r="A82" s="2">
        <v>45292</v>
      </c>
      <c r="B82" s="1" t="s">
        <v>14</v>
      </c>
      <c r="C82" s="3">
        <v>2852.3</v>
      </c>
      <c r="D82" s="3">
        <v>2947</v>
      </c>
      <c r="E82" s="3">
        <v>2842.05</v>
      </c>
      <c r="F82" s="3">
        <v>2848.95</v>
      </c>
      <c r="G82" s="3">
        <v>2902.85</v>
      </c>
      <c r="H82" s="3">
        <v>2917.2</v>
      </c>
      <c r="I82" s="3">
        <v>2914.54</v>
      </c>
      <c r="J82" s="3">
        <v>3880</v>
      </c>
      <c r="K82" s="3">
        <v>1017.45</v>
      </c>
      <c r="L82" s="1" t="s">
        <v>999</v>
      </c>
      <c r="M82" s="1" t="s">
        <v>1000</v>
      </c>
      <c r="N82" s="1" t="s">
        <v>1001</v>
      </c>
      <c r="O82" s="7">
        <f t="shared" si="4"/>
        <v>2.3956194387405887</v>
      </c>
      <c r="P82" s="8">
        <f t="shared" si="5"/>
        <v>104.94999999999982</v>
      </c>
      <c r="Q82" s="7">
        <f t="shared" si="6"/>
        <v>24.901583292526826</v>
      </c>
      <c r="R82" s="7">
        <f t="shared" si="7"/>
        <v>-24.814432989690726</v>
      </c>
    </row>
    <row r="83" spans="1:18" customFormat="1" ht="14.4" customHeight="1">
      <c r="A83" s="2">
        <v>45293</v>
      </c>
      <c r="B83" s="1" t="s">
        <v>14</v>
      </c>
      <c r="C83" s="3">
        <v>2922</v>
      </c>
      <c r="D83" s="3">
        <v>2948.2</v>
      </c>
      <c r="E83" s="3">
        <v>2841</v>
      </c>
      <c r="F83" s="3">
        <v>2917.2</v>
      </c>
      <c r="G83" s="3">
        <v>2931</v>
      </c>
      <c r="H83" s="3">
        <v>2932.4</v>
      </c>
      <c r="I83" s="3">
        <v>2903.97</v>
      </c>
      <c r="J83" s="3">
        <v>3880</v>
      </c>
      <c r="K83" s="3">
        <v>1017.45</v>
      </c>
      <c r="L83" s="1" t="s">
        <v>996</v>
      </c>
      <c r="M83" s="1" t="s">
        <v>997</v>
      </c>
      <c r="N83" s="1" t="s">
        <v>998</v>
      </c>
      <c r="O83" s="7">
        <f t="shared" si="4"/>
        <v>0.52104757987111872</v>
      </c>
      <c r="P83" s="8">
        <f t="shared" si="5"/>
        <v>107.19999999999982</v>
      </c>
      <c r="Q83" s="7">
        <f t="shared" si="6"/>
        <v>23.024072398190047</v>
      </c>
      <c r="R83" s="7">
        <f t="shared" si="7"/>
        <v>-24.422680412371133</v>
      </c>
    </row>
    <row r="84" spans="1:18" customFormat="1" ht="14.4" customHeight="1">
      <c r="A84" s="2">
        <v>45294</v>
      </c>
      <c r="B84" s="1" t="s">
        <v>14</v>
      </c>
      <c r="C84" s="3">
        <v>3047</v>
      </c>
      <c r="D84" s="3">
        <v>3199</v>
      </c>
      <c r="E84" s="3">
        <v>2955.6</v>
      </c>
      <c r="F84" s="3">
        <v>2932.4</v>
      </c>
      <c r="G84" s="3">
        <v>3005</v>
      </c>
      <c r="H84" s="3">
        <v>3003</v>
      </c>
      <c r="I84" s="3">
        <v>3060.56</v>
      </c>
      <c r="J84" s="3">
        <v>3880</v>
      </c>
      <c r="K84" s="3">
        <v>1017.45</v>
      </c>
      <c r="L84" s="1" t="s">
        <v>993</v>
      </c>
      <c r="M84" s="1" t="s">
        <v>994</v>
      </c>
      <c r="N84" s="1" t="s">
        <v>995</v>
      </c>
      <c r="O84" s="7">
        <f t="shared" si="4"/>
        <v>2.407584231346334</v>
      </c>
      <c r="P84" s="8">
        <f t="shared" si="5"/>
        <v>243.40000000000009</v>
      </c>
      <c r="Q84" s="7">
        <f t="shared" si="6"/>
        <v>25.855963329208699</v>
      </c>
      <c r="R84" s="7">
        <f t="shared" si="7"/>
        <v>-22.603092783505154</v>
      </c>
    </row>
    <row r="85" spans="1:18" customFormat="1" ht="14.4" customHeight="1">
      <c r="A85" s="2">
        <v>45295</v>
      </c>
      <c r="B85" s="1" t="s">
        <v>14</v>
      </c>
      <c r="C85" s="3">
        <v>3039.4</v>
      </c>
      <c r="D85" s="3">
        <v>3044.45</v>
      </c>
      <c r="E85" s="3">
        <v>2990</v>
      </c>
      <c r="F85" s="3">
        <v>3003</v>
      </c>
      <c r="G85" s="3">
        <v>2996</v>
      </c>
      <c r="H85" s="3">
        <v>2998.3</v>
      </c>
      <c r="I85" s="3">
        <v>3011.56</v>
      </c>
      <c r="J85" s="3">
        <v>3880</v>
      </c>
      <c r="K85" s="3">
        <v>1017.45</v>
      </c>
      <c r="L85" s="1" t="s">
        <v>990</v>
      </c>
      <c r="M85" s="1" t="s">
        <v>991</v>
      </c>
      <c r="N85" s="1" t="s">
        <v>992</v>
      </c>
      <c r="O85" s="7">
        <f t="shared" si="4"/>
        <v>-0.15651015651015046</v>
      </c>
      <c r="P85" s="8">
        <f t="shared" si="5"/>
        <v>54.449999999999818</v>
      </c>
      <c r="Q85" s="7">
        <f t="shared" si="6"/>
        <v>24.206005092370393</v>
      </c>
      <c r="R85" s="7">
        <f t="shared" si="7"/>
        <v>-22.724226804123706</v>
      </c>
    </row>
    <row r="86" spans="1:18" customFormat="1" ht="14.4" customHeight="1">
      <c r="A86" s="2">
        <v>45296</v>
      </c>
      <c r="B86" s="1" t="s">
        <v>14</v>
      </c>
      <c r="C86" s="3">
        <v>3009.95</v>
      </c>
      <c r="D86" s="3">
        <v>3066.9</v>
      </c>
      <c r="E86" s="3">
        <v>2981.1</v>
      </c>
      <c r="F86" s="3">
        <v>2998.3</v>
      </c>
      <c r="G86" s="3">
        <v>3009</v>
      </c>
      <c r="H86" s="3">
        <v>3006.6</v>
      </c>
      <c r="I86" s="3">
        <v>3026.08</v>
      </c>
      <c r="J86" s="3">
        <v>3880</v>
      </c>
      <c r="K86" s="3">
        <v>1017.45</v>
      </c>
      <c r="L86" s="1" t="s">
        <v>987</v>
      </c>
      <c r="M86" s="1" t="s">
        <v>988</v>
      </c>
      <c r="N86" s="1" t="s">
        <v>989</v>
      </c>
      <c r="O86" s="7">
        <f t="shared" si="4"/>
        <v>0.27682353333554771</v>
      </c>
      <c r="P86" s="8">
        <f t="shared" si="5"/>
        <v>85.800000000000182</v>
      </c>
      <c r="Q86" s="7">
        <f t="shared" si="6"/>
        <v>25.570168194018709</v>
      </c>
      <c r="R86" s="7">
        <f t="shared" si="7"/>
        <v>-22.510309278350519</v>
      </c>
    </row>
    <row r="87" spans="1:18" customFormat="1" ht="14.4" customHeight="1">
      <c r="A87" s="2">
        <v>45299</v>
      </c>
      <c r="B87" s="1" t="s">
        <v>14</v>
      </c>
      <c r="C87" s="3">
        <v>3020</v>
      </c>
      <c r="D87" s="3">
        <v>3027</v>
      </c>
      <c r="E87" s="3">
        <v>2952.95</v>
      </c>
      <c r="F87" s="3">
        <v>3006.6</v>
      </c>
      <c r="G87" s="3">
        <v>2965</v>
      </c>
      <c r="H87" s="3">
        <v>2963.5</v>
      </c>
      <c r="I87" s="3">
        <v>2990.76</v>
      </c>
      <c r="J87" s="3">
        <v>3880</v>
      </c>
      <c r="K87" s="3">
        <v>1017.45</v>
      </c>
      <c r="L87" s="1" t="s">
        <v>985</v>
      </c>
      <c r="M87" s="1" t="s">
        <v>986</v>
      </c>
      <c r="N87" s="4">
        <v>77114</v>
      </c>
      <c r="O87" s="7">
        <f t="shared" si="4"/>
        <v>-1.4335129382026179</v>
      </c>
      <c r="P87" s="8">
        <f t="shared" si="5"/>
        <v>74.050000000000182</v>
      </c>
      <c r="Q87" s="7">
        <f t="shared" si="6"/>
        <v>23.978278911741057</v>
      </c>
      <c r="R87" s="7">
        <f t="shared" si="7"/>
        <v>-23.621134020618555</v>
      </c>
    </row>
    <row r="88" spans="1:18" customFormat="1" ht="14.4" customHeight="1">
      <c r="A88" s="2">
        <v>45300</v>
      </c>
      <c r="B88" s="1" t="s">
        <v>14</v>
      </c>
      <c r="C88" s="3">
        <v>2990.7</v>
      </c>
      <c r="D88" s="3">
        <v>3068.8</v>
      </c>
      <c r="E88" s="3">
        <v>2980</v>
      </c>
      <c r="F88" s="3">
        <v>2963.5</v>
      </c>
      <c r="G88" s="3">
        <v>3024.95</v>
      </c>
      <c r="H88" s="3">
        <v>3014.6</v>
      </c>
      <c r="I88" s="3">
        <v>3029.63</v>
      </c>
      <c r="J88" s="3">
        <v>3880</v>
      </c>
      <c r="K88" s="3">
        <v>1017.45</v>
      </c>
      <c r="L88" s="1" t="s">
        <v>982</v>
      </c>
      <c r="M88" s="1" t="s">
        <v>983</v>
      </c>
      <c r="N88" s="1" t="s">
        <v>984</v>
      </c>
      <c r="O88" s="7">
        <f t="shared" si="4"/>
        <v>1.7243124683651059</v>
      </c>
      <c r="P88" s="8">
        <f t="shared" si="5"/>
        <v>88.800000000000182</v>
      </c>
      <c r="Q88" s="7">
        <f t="shared" si="6"/>
        <v>23.25494399226368</v>
      </c>
      <c r="R88" s="7">
        <f t="shared" si="7"/>
        <v>-22.30412371134021</v>
      </c>
    </row>
    <row r="89" spans="1:18" customFormat="1" ht="14.4" customHeight="1">
      <c r="A89" s="2">
        <v>45301</v>
      </c>
      <c r="B89" s="1" t="s">
        <v>14</v>
      </c>
      <c r="C89" s="3">
        <v>3024</v>
      </c>
      <c r="D89" s="3">
        <v>3112</v>
      </c>
      <c r="E89" s="3">
        <v>3020.05</v>
      </c>
      <c r="F89" s="3">
        <v>3014.6</v>
      </c>
      <c r="G89" s="3">
        <v>3107.8</v>
      </c>
      <c r="H89" s="3">
        <v>3098.2</v>
      </c>
      <c r="I89" s="3">
        <v>3077.75</v>
      </c>
      <c r="J89" s="3">
        <v>3880</v>
      </c>
      <c r="K89" s="3">
        <v>1017.45</v>
      </c>
      <c r="L89" s="1" t="s">
        <v>979</v>
      </c>
      <c r="M89" s="1" t="s">
        <v>980</v>
      </c>
      <c r="N89" s="1" t="s">
        <v>981</v>
      </c>
      <c r="O89" s="7">
        <f t="shared" si="4"/>
        <v>2.7731705698931837</v>
      </c>
      <c r="P89" s="8">
        <f t="shared" si="5"/>
        <v>91.949999999999818</v>
      </c>
      <c r="Q89" s="7">
        <f t="shared" si="6"/>
        <v>24.454398703138622</v>
      </c>
      <c r="R89" s="7">
        <f t="shared" si="7"/>
        <v>-20.149484536082479</v>
      </c>
    </row>
    <row r="90" spans="1:18" customFormat="1" ht="14.4" customHeight="1">
      <c r="A90" s="2">
        <v>45302</v>
      </c>
      <c r="B90" s="1" t="s">
        <v>14</v>
      </c>
      <c r="C90" s="3">
        <v>3120</v>
      </c>
      <c r="D90" s="3">
        <v>3129</v>
      </c>
      <c r="E90" s="3">
        <v>3065</v>
      </c>
      <c r="F90" s="3">
        <v>3098.2</v>
      </c>
      <c r="G90" s="3">
        <v>3084</v>
      </c>
      <c r="H90" s="3">
        <v>3080.9</v>
      </c>
      <c r="I90" s="3">
        <v>3089.22</v>
      </c>
      <c r="J90" s="3">
        <v>3880</v>
      </c>
      <c r="K90" s="3">
        <v>1017.45</v>
      </c>
      <c r="L90" s="1" t="s">
        <v>977</v>
      </c>
      <c r="M90" s="1" t="s">
        <v>978</v>
      </c>
      <c r="N90" s="4">
        <v>82014</v>
      </c>
      <c r="O90" s="7">
        <f t="shared" si="4"/>
        <v>-0.55838874185009768</v>
      </c>
      <c r="P90" s="8">
        <f t="shared" si="5"/>
        <v>64</v>
      </c>
      <c r="Q90" s="7">
        <f t="shared" si="6"/>
        <v>24.484880630136317</v>
      </c>
      <c r="R90" s="7">
        <f t="shared" si="7"/>
        <v>-20.595360824742265</v>
      </c>
    </row>
    <row r="91" spans="1:18" customFormat="1" ht="14.4" customHeight="1">
      <c r="A91" s="2">
        <v>45303</v>
      </c>
      <c r="B91" s="1" t="s">
        <v>14</v>
      </c>
      <c r="C91" s="3">
        <v>3096.35</v>
      </c>
      <c r="D91" s="3">
        <v>3125</v>
      </c>
      <c r="E91" s="3">
        <v>3068.2</v>
      </c>
      <c r="F91" s="3">
        <v>3080.9</v>
      </c>
      <c r="G91" s="3">
        <v>3105.4</v>
      </c>
      <c r="H91" s="3">
        <v>3104.1</v>
      </c>
      <c r="I91" s="3">
        <v>3100.07</v>
      </c>
      <c r="J91" s="3">
        <v>3880</v>
      </c>
      <c r="K91" s="3">
        <v>1017.45</v>
      </c>
      <c r="L91" s="1" t="s">
        <v>975</v>
      </c>
      <c r="M91" s="1" t="s">
        <v>976</v>
      </c>
      <c r="N91" s="4">
        <v>81003</v>
      </c>
      <c r="O91" s="7">
        <f t="shared" si="4"/>
        <v>0.7530267129734759</v>
      </c>
      <c r="P91" s="8">
        <f t="shared" si="5"/>
        <v>56.800000000000182</v>
      </c>
      <c r="Q91" s="7">
        <f t="shared" si="6"/>
        <v>22.171191190449736</v>
      </c>
      <c r="R91" s="7">
        <f t="shared" si="7"/>
        <v>-19.997422680412374</v>
      </c>
    </row>
    <row r="92" spans="1:18" customFormat="1" ht="14.4" customHeight="1">
      <c r="A92" s="2">
        <v>45306</v>
      </c>
      <c r="B92" s="1" t="s">
        <v>14</v>
      </c>
      <c r="C92" s="3">
        <v>3127</v>
      </c>
      <c r="D92" s="3">
        <v>3130</v>
      </c>
      <c r="E92" s="3">
        <v>3067.45</v>
      </c>
      <c r="F92" s="3">
        <v>3104.1</v>
      </c>
      <c r="G92" s="3">
        <v>3091.3</v>
      </c>
      <c r="H92" s="3">
        <v>3089.5</v>
      </c>
      <c r="I92" s="3">
        <v>3095.46</v>
      </c>
      <c r="J92" s="3">
        <v>3739.95</v>
      </c>
      <c r="K92" s="3">
        <v>1017.45</v>
      </c>
      <c r="L92" s="1" t="s">
        <v>973</v>
      </c>
      <c r="M92" s="1" t="s">
        <v>974</v>
      </c>
      <c r="N92" s="4">
        <v>66077</v>
      </c>
      <c r="O92" s="7">
        <f t="shared" si="4"/>
        <v>-0.47034567185335235</v>
      </c>
      <c r="P92" s="8">
        <f t="shared" si="5"/>
        <v>62.550000000000182</v>
      </c>
      <c r="Q92" s="7">
        <f t="shared" si="6"/>
        <v>21.293445525674592</v>
      </c>
      <c r="R92" s="7">
        <f t="shared" si="7"/>
        <v>-17.391943742563399</v>
      </c>
    </row>
    <row r="93" spans="1:18" customFormat="1" ht="14.4" customHeight="1">
      <c r="A93" s="2">
        <v>45307</v>
      </c>
      <c r="B93" s="1" t="s">
        <v>14</v>
      </c>
      <c r="C93" s="3">
        <v>3095</v>
      </c>
      <c r="D93" s="3">
        <v>3104.5</v>
      </c>
      <c r="E93" s="3">
        <v>3035</v>
      </c>
      <c r="F93" s="3">
        <v>3089.5</v>
      </c>
      <c r="G93" s="3">
        <v>3059</v>
      </c>
      <c r="H93" s="3">
        <v>3056.5</v>
      </c>
      <c r="I93" s="3">
        <v>3066.6</v>
      </c>
      <c r="J93" s="3">
        <v>3739.95</v>
      </c>
      <c r="K93" s="3">
        <v>1017.45</v>
      </c>
      <c r="L93" s="1" t="s">
        <v>971</v>
      </c>
      <c r="M93" s="1" t="s">
        <v>972</v>
      </c>
      <c r="N93" s="4">
        <v>81017</v>
      </c>
      <c r="O93" s="7">
        <f t="shared" si="4"/>
        <v>-1.0681340022657388</v>
      </c>
      <c r="P93" s="8">
        <f t="shared" si="5"/>
        <v>69.5</v>
      </c>
      <c r="Q93" s="7">
        <f t="shared" si="6"/>
        <v>31.049829048224446</v>
      </c>
      <c r="R93" s="7">
        <f t="shared" si="7"/>
        <v>-18.27430848005989</v>
      </c>
    </row>
    <row r="94" spans="1:18" customFormat="1" ht="14.4" customHeight="1">
      <c r="A94" s="2">
        <v>45308</v>
      </c>
      <c r="B94" s="1" t="s">
        <v>14</v>
      </c>
      <c r="C94" s="3">
        <v>3033</v>
      </c>
      <c r="D94" s="3">
        <v>3045</v>
      </c>
      <c r="E94" s="3">
        <v>2946.3</v>
      </c>
      <c r="F94" s="3">
        <v>3056.5</v>
      </c>
      <c r="G94" s="3">
        <v>2978</v>
      </c>
      <c r="H94" s="3">
        <v>2971.05</v>
      </c>
      <c r="I94" s="3">
        <v>2994.68</v>
      </c>
      <c r="J94" s="3">
        <v>3739.95</v>
      </c>
      <c r="K94" s="3">
        <v>1017.45</v>
      </c>
      <c r="L94" s="1" t="s">
        <v>968</v>
      </c>
      <c r="M94" s="1" t="s">
        <v>969</v>
      </c>
      <c r="N94" s="1" t="s">
        <v>970</v>
      </c>
      <c r="O94" s="7">
        <f t="shared" si="4"/>
        <v>-2.7956813348601282</v>
      </c>
      <c r="P94" s="8">
        <f t="shared" si="5"/>
        <v>98.699999999999818</v>
      </c>
      <c r="Q94" s="7">
        <f t="shared" si="6"/>
        <v>24.93195645626264</v>
      </c>
      <c r="R94" s="7">
        <f t="shared" si="7"/>
        <v>-20.559098383668221</v>
      </c>
    </row>
    <row r="95" spans="1:18" customFormat="1" ht="14.4" customHeight="1">
      <c r="A95" s="2">
        <v>45309</v>
      </c>
      <c r="B95" s="1" t="s">
        <v>14</v>
      </c>
      <c r="C95" s="3">
        <v>2975.55</v>
      </c>
      <c r="D95" s="3">
        <v>2985</v>
      </c>
      <c r="E95" s="3">
        <v>2885.1</v>
      </c>
      <c r="F95" s="3">
        <v>2971.05</v>
      </c>
      <c r="G95" s="3">
        <v>2925.05</v>
      </c>
      <c r="H95" s="3">
        <v>2918.9</v>
      </c>
      <c r="I95" s="3">
        <v>2923.25</v>
      </c>
      <c r="J95" s="3">
        <v>3739.95</v>
      </c>
      <c r="K95" s="3">
        <v>1017.45</v>
      </c>
      <c r="L95" s="1" t="s">
        <v>965</v>
      </c>
      <c r="M95" s="1" t="s">
        <v>966</v>
      </c>
      <c r="N95" s="1" t="s">
        <v>967</v>
      </c>
      <c r="O95" s="7">
        <f t="shared" si="4"/>
        <v>-1.7552717052893789</v>
      </c>
      <c r="P95" s="8">
        <f t="shared" si="5"/>
        <v>99.900000000000091</v>
      </c>
      <c r="Q95" s="7">
        <f t="shared" si="6"/>
        <v>18.504349969550212</v>
      </c>
      <c r="R95" s="7">
        <f t="shared" si="7"/>
        <v>-21.953502052166467</v>
      </c>
    </row>
    <row r="96" spans="1:18" customFormat="1" ht="14.4" customHeight="1">
      <c r="A96" s="2">
        <v>45310</v>
      </c>
      <c r="B96" s="1" t="s">
        <v>14</v>
      </c>
      <c r="C96" s="3">
        <v>2945.35</v>
      </c>
      <c r="D96" s="3">
        <v>2949.45</v>
      </c>
      <c r="E96" s="3">
        <v>2903.05</v>
      </c>
      <c r="F96" s="3">
        <v>2918.9</v>
      </c>
      <c r="G96" s="3">
        <v>2915.3</v>
      </c>
      <c r="H96" s="3">
        <v>2915.65</v>
      </c>
      <c r="I96" s="3">
        <v>2926.36</v>
      </c>
      <c r="J96" s="3">
        <v>3739.95</v>
      </c>
      <c r="K96" s="3">
        <v>1017.45</v>
      </c>
      <c r="L96" s="1" t="s">
        <v>963</v>
      </c>
      <c r="M96" s="1" t="s">
        <v>964</v>
      </c>
      <c r="N96" s="4">
        <v>88297</v>
      </c>
      <c r="O96" s="7">
        <f t="shared" si="4"/>
        <v>-0.11134331426222208</v>
      </c>
      <c r="P96" s="8">
        <f t="shared" si="5"/>
        <v>46.399999999999636</v>
      </c>
      <c r="Q96" s="7">
        <f t="shared" si="6"/>
        <v>22.810469211864504</v>
      </c>
      <c r="R96" s="7">
        <f t="shared" si="7"/>
        <v>-22.04040160964718</v>
      </c>
    </row>
    <row r="97" spans="1:18" customFormat="1" ht="14.4" customHeight="1">
      <c r="A97" s="2">
        <v>45311</v>
      </c>
      <c r="B97" s="1" t="s">
        <v>14</v>
      </c>
      <c r="C97" s="3">
        <v>2930</v>
      </c>
      <c r="D97" s="3">
        <v>3015.85</v>
      </c>
      <c r="E97" s="3">
        <v>2890.5</v>
      </c>
      <c r="F97" s="3">
        <v>2915.65</v>
      </c>
      <c r="G97" s="3">
        <v>2987.85</v>
      </c>
      <c r="H97" s="3">
        <v>2987.9</v>
      </c>
      <c r="I97" s="3">
        <v>2939.51</v>
      </c>
      <c r="J97" s="3">
        <v>3739.95</v>
      </c>
      <c r="K97" s="3">
        <v>1017.45</v>
      </c>
      <c r="L97" s="1" t="s">
        <v>961</v>
      </c>
      <c r="M97" s="1" t="s">
        <v>962</v>
      </c>
      <c r="N97" s="4">
        <v>83748</v>
      </c>
      <c r="O97" s="7">
        <f t="shared" si="4"/>
        <v>2.4780066194502086</v>
      </c>
      <c r="P97" s="8">
        <f t="shared" si="5"/>
        <v>125.34999999999991</v>
      </c>
      <c r="Q97" s="7">
        <f t="shared" si="6"/>
        <v>22.433884988298228</v>
      </c>
      <c r="R97" s="7">
        <f t="shared" si="7"/>
        <v>-20.10855760103744</v>
      </c>
    </row>
    <row r="98" spans="1:18" customFormat="1" ht="14.4" customHeight="1">
      <c r="A98" s="2">
        <v>45314</v>
      </c>
      <c r="B98" s="1" t="s">
        <v>14</v>
      </c>
      <c r="C98" s="3">
        <v>3014.95</v>
      </c>
      <c r="D98" s="3">
        <v>3014.95</v>
      </c>
      <c r="E98" s="3">
        <v>2885.5</v>
      </c>
      <c r="F98" s="3">
        <v>2987.9</v>
      </c>
      <c r="G98" s="3">
        <v>2900.35</v>
      </c>
      <c r="H98" s="3">
        <v>2896.55</v>
      </c>
      <c r="I98" s="3">
        <v>2945.88</v>
      </c>
      <c r="J98" s="3">
        <v>3508</v>
      </c>
      <c r="K98" s="3">
        <v>1017.45</v>
      </c>
      <c r="L98" s="1" t="s">
        <v>958</v>
      </c>
      <c r="M98" s="1" t="s">
        <v>959</v>
      </c>
      <c r="N98" s="1" t="s">
        <v>960</v>
      </c>
      <c r="O98" s="7">
        <f t="shared" si="4"/>
        <v>-3.0573312359851368</v>
      </c>
      <c r="P98" s="8">
        <f t="shared" si="5"/>
        <v>129.44999999999982</v>
      </c>
      <c r="Q98" s="7">
        <f t="shared" si="6"/>
        <v>17.969392070657893</v>
      </c>
      <c r="R98" s="7">
        <f t="shared" si="7"/>
        <v>-17.430159635119722</v>
      </c>
    </row>
    <row r="99" spans="1:18" customFormat="1" ht="14.4" customHeight="1">
      <c r="A99" s="2">
        <v>45315</v>
      </c>
      <c r="B99" s="1" t="s">
        <v>14</v>
      </c>
      <c r="C99" s="3">
        <v>2901</v>
      </c>
      <c r="D99" s="3">
        <v>2929.1</v>
      </c>
      <c r="E99" s="3">
        <v>2871.25</v>
      </c>
      <c r="F99" s="3">
        <v>2896.55</v>
      </c>
      <c r="G99" s="3">
        <v>2908</v>
      </c>
      <c r="H99" s="3">
        <v>2903.45</v>
      </c>
      <c r="I99" s="3">
        <v>2891.63</v>
      </c>
      <c r="J99" s="3">
        <v>3508</v>
      </c>
      <c r="K99" s="3">
        <v>1017.45</v>
      </c>
      <c r="L99" s="1" t="s">
        <v>955</v>
      </c>
      <c r="M99" s="1" t="s">
        <v>956</v>
      </c>
      <c r="N99" s="1" t="s">
        <v>957</v>
      </c>
      <c r="O99" s="7">
        <f t="shared" si="4"/>
        <v>0.23821442750857524</v>
      </c>
      <c r="P99" s="8">
        <f t="shared" si="5"/>
        <v>57.849999999999909</v>
      </c>
      <c r="Q99" s="7">
        <f t="shared" si="6"/>
        <v>36.125320329410592</v>
      </c>
      <c r="R99" s="7">
        <f t="shared" si="7"/>
        <v>-17.233466362599778</v>
      </c>
    </row>
    <row r="100" spans="1:18" customFormat="1" ht="14.4" customHeight="1">
      <c r="A100" s="2">
        <v>45316</v>
      </c>
      <c r="B100" s="1" t="s">
        <v>14</v>
      </c>
      <c r="C100" s="3">
        <v>2903.45</v>
      </c>
      <c r="D100" s="3">
        <v>2926.35</v>
      </c>
      <c r="E100" s="3">
        <v>2804.4</v>
      </c>
      <c r="F100" s="3">
        <v>2903.45</v>
      </c>
      <c r="G100" s="3">
        <v>2903</v>
      </c>
      <c r="H100" s="3">
        <v>2893.6</v>
      </c>
      <c r="I100" s="3">
        <v>2860.14</v>
      </c>
      <c r="J100" s="3">
        <v>3508</v>
      </c>
      <c r="K100" s="3">
        <v>1017.45</v>
      </c>
      <c r="L100" s="1" t="s">
        <v>952</v>
      </c>
      <c r="M100" s="1" t="s">
        <v>953</v>
      </c>
      <c r="N100" s="1" t="s">
        <v>954</v>
      </c>
      <c r="O100" s="7">
        <f t="shared" si="4"/>
        <v>-0.33925158001687339</v>
      </c>
      <c r="P100" s="8">
        <f t="shared" si="5"/>
        <v>121.94999999999982</v>
      </c>
      <c r="Q100" s="7">
        <f t="shared" si="6"/>
        <v>19.236511363132291</v>
      </c>
      <c r="R100" s="7">
        <f t="shared" si="7"/>
        <v>-17.514253135689856</v>
      </c>
    </row>
    <row r="101" spans="1:18" customFormat="1" ht="14.4" customHeight="1">
      <c r="A101" s="2">
        <v>45320</v>
      </c>
      <c r="B101" s="1" t="s">
        <v>14</v>
      </c>
      <c r="C101" s="3">
        <v>2929</v>
      </c>
      <c r="D101" s="3">
        <v>3092.7</v>
      </c>
      <c r="E101" s="3">
        <v>2923.05</v>
      </c>
      <c r="F101" s="3">
        <v>2893.6</v>
      </c>
      <c r="G101" s="3">
        <v>3061</v>
      </c>
      <c r="H101" s="3">
        <v>3064.65</v>
      </c>
      <c r="I101" s="3">
        <v>3044.27</v>
      </c>
      <c r="J101" s="3">
        <v>3199</v>
      </c>
      <c r="K101" s="3">
        <v>1017.45</v>
      </c>
      <c r="L101" s="1" t="s">
        <v>949</v>
      </c>
      <c r="M101" s="1" t="s">
        <v>950</v>
      </c>
      <c r="N101" s="1" t="s">
        <v>951</v>
      </c>
      <c r="O101" s="7">
        <f t="shared" si="4"/>
        <v>5.9113215371855192</v>
      </c>
      <c r="P101" s="8">
        <f t="shared" si="5"/>
        <v>169.64999999999964</v>
      </c>
      <c r="Q101" s="7">
        <f t="shared" si="6"/>
        <v>15.907624718191803</v>
      </c>
      <c r="R101" s="7">
        <f t="shared" si="7"/>
        <v>-4.1997499218505752</v>
      </c>
    </row>
    <row r="102" spans="1:18" customFormat="1" ht="14.4" customHeight="1">
      <c r="A102" s="2">
        <v>45321</v>
      </c>
      <c r="B102" s="1" t="s">
        <v>14</v>
      </c>
      <c r="C102" s="3">
        <v>3081</v>
      </c>
      <c r="D102" s="3">
        <v>3129.9</v>
      </c>
      <c r="E102" s="3">
        <v>3020.9</v>
      </c>
      <c r="F102" s="3">
        <v>3064.65</v>
      </c>
      <c r="G102" s="3">
        <v>3096</v>
      </c>
      <c r="H102" s="3">
        <v>3091.1</v>
      </c>
      <c r="I102" s="3">
        <v>3090.43</v>
      </c>
      <c r="J102" s="3">
        <v>3199</v>
      </c>
      <c r="K102" s="3">
        <v>1017.45</v>
      </c>
      <c r="L102" s="1" t="s">
        <v>946</v>
      </c>
      <c r="M102" s="1" t="s">
        <v>947</v>
      </c>
      <c r="N102" s="1" t="s">
        <v>948</v>
      </c>
      <c r="O102" s="7">
        <f t="shared" si="4"/>
        <v>0.86306756073286728</v>
      </c>
      <c r="P102" s="8">
        <f t="shared" si="5"/>
        <v>109</v>
      </c>
      <c r="Q102" s="7">
        <f t="shared" si="6"/>
        <v>20.494188226471692</v>
      </c>
      <c r="R102" s="7">
        <f t="shared" si="7"/>
        <v>-3.3729290403251047</v>
      </c>
    </row>
    <row r="103" spans="1:18" customFormat="1" ht="14.4" customHeight="1">
      <c r="A103" s="2">
        <v>45322</v>
      </c>
      <c r="B103" s="1" t="s">
        <v>14</v>
      </c>
      <c r="C103" s="3">
        <v>3092.75</v>
      </c>
      <c r="D103" s="3">
        <v>3151.7</v>
      </c>
      <c r="E103" s="3">
        <v>3072.4</v>
      </c>
      <c r="F103" s="3">
        <v>3091.1</v>
      </c>
      <c r="G103" s="3">
        <v>3138</v>
      </c>
      <c r="H103" s="3">
        <v>3142</v>
      </c>
      <c r="I103" s="3">
        <v>3116.94</v>
      </c>
      <c r="J103" s="3">
        <v>3199</v>
      </c>
      <c r="K103" s="3">
        <v>1017.45</v>
      </c>
      <c r="L103" s="1" t="s">
        <v>943</v>
      </c>
      <c r="M103" s="1" t="s">
        <v>944</v>
      </c>
      <c r="N103" s="1" t="s">
        <v>945</v>
      </c>
      <c r="O103" s="7">
        <f t="shared" si="4"/>
        <v>1.6466630002264595</v>
      </c>
      <c r="P103" s="8">
        <f t="shared" si="5"/>
        <v>79.299999999999727</v>
      </c>
      <c r="Q103" s="7">
        <f t="shared" si="6"/>
        <v>23.082814822496456</v>
      </c>
      <c r="R103" s="7">
        <f t="shared" si="7"/>
        <v>-1.7818068146295718</v>
      </c>
    </row>
    <row r="104" spans="1:18" customFormat="1" ht="14.4" customHeight="1">
      <c r="A104" s="2">
        <v>45323</v>
      </c>
      <c r="B104" s="1" t="s">
        <v>14</v>
      </c>
      <c r="C104" s="3">
        <v>3156.9</v>
      </c>
      <c r="D104" s="3">
        <v>3236.95</v>
      </c>
      <c r="E104" s="3">
        <v>3083.05</v>
      </c>
      <c r="F104" s="3">
        <v>3142</v>
      </c>
      <c r="G104" s="3">
        <v>3154.85</v>
      </c>
      <c r="H104" s="3">
        <v>3153.5</v>
      </c>
      <c r="I104" s="3">
        <v>3162.65</v>
      </c>
      <c r="J104" s="3">
        <v>3236.95</v>
      </c>
      <c r="K104" s="3">
        <v>1017.45</v>
      </c>
      <c r="L104" s="1" t="s">
        <v>940</v>
      </c>
      <c r="M104" s="1" t="s">
        <v>941</v>
      </c>
      <c r="N104" s="1" t="s">
        <v>942</v>
      </c>
      <c r="O104" s="7">
        <f t="shared" si="4"/>
        <v>0.36600891152132398</v>
      </c>
      <c r="P104" s="8">
        <f t="shared" si="5"/>
        <v>153.89999999999964</v>
      </c>
      <c r="Q104" s="7">
        <f t="shared" si="6"/>
        <v>22.135502519801818</v>
      </c>
      <c r="R104" s="7">
        <f t="shared" si="7"/>
        <v>-2.5780441464959241</v>
      </c>
    </row>
    <row r="105" spans="1:18" customFormat="1" ht="14.4" customHeight="1">
      <c r="A105" s="2">
        <v>45324</v>
      </c>
      <c r="B105" s="1" t="s">
        <v>14</v>
      </c>
      <c r="C105" s="3">
        <v>3184.95</v>
      </c>
      <c r="D105" s="3">
        <v>3208.5</v>
      </c>
      <c r="E105" s="3">
        <v>3140</v>
      </c>
      <c r="F105" s="3">
        <v>3153.5</v>
      </c>
      <c r="G105" s="3">
        <v>3157</v>
      </c>
      <c r="H105" s="3">
        <v>3157.45</v>
      </c>
      <c r="I105" s="3">
        <v>3173.2</v>
      </c>
      <c r="J105" s="3">
        <v>3236.95</v>
      </c>
      <c r="K105" s="3">
        <v>1017.45</v>
      </c>
      <c r="L105" s="1" t="s">
        <v>937</v>
      </c>
      <c r="M105" s="1" t="s">
        <v>938</v>
      </c>
      <c r="N105" s="1" t="s">
        <v>939</v>
      </c>
      <c r="O105" s="7">
        <f t="shared" si="4"/>
        <v>0.12525765022989752</v>
      </c>
      <c r="P105" s="8">
        <f t="shared" si="5"/>
        <v>68.5</v>
      </c>
      <c r="Q105" s="7">
        <f t="shared" si="6"/>
        <v>21.849953213732576</v>
      </c>
      <c r="R105" s="7">
        <f t="shared" si="7"/>
        <v>-2.4560156937858171</v>
      </c>
    </row>
    <row r="106" spans="1:18" customFormat="1" ht="14.4" customHeight="1">
      <c r="A106" s="2">
        <v>45327</v>
      </c>
      <c r="B106" s="1" t="s">
        <v>14</v>
      </c>
      <c r="C106" s="3">
        <v>3170</v>
      </c>
      <c r="D106" s="3">
        <v>3229.4</v>
      </c>
      <c r="E106" s="3">
        <v>3151.45</v>
      </c>
      <c r="F106" s="3">
        <v>3157.45</v>
      </c>
      <c r="G106" s="3">
        <v>3175.25</v>
      </c>
      <c r="H106" s="3">
        <v>3173.45</v>
      </c>
      <c r="I106" s="3">
        <v>3192.8</v>
      </c>
      <c r="J106" s="3">
        <v>3236.95</v>
      </c>
      <c r="K106" s="3">
        <v>1103.75</v>
      </c>
      <c r="L106" s="1" t="s">
        <v>934</v>
      </c>
      <c r="M106" s="1" t="s">
        <v>935</v>
      </c>
      <c r="N106" s="1" t="s">
        <v>936</v>
      </c>
      <c r="O106" s="7">
        <f t="shared" si="4"/>
        <v>0.5067380322728785</v>
      </c>
      <c r="P106" s="8">
        <f t="shared" si="5"/>
        <v>77.950000000000273</v>
      </c>
      <c r="Q106" s="7">
        <f t="shared" si="6"/>
        <v>16.538693778351412</v>
      </c>
      <c r="R106" s="7">
        <f t="shared" si="7"/>
        <v>-1.961723227111942</v>
      </c>
    </row>
    <row r="107" spans="1:18" customFormat="1" ht="14.4" customHeight="1">
      <c r="A107" s="2">
        <v>45328</v>
      </c>
      <c r="B107" s="1" t="s">
        <v>14</v>
      </c>
      <c r="C107" s="3">
        <v>3183.9</v>
      </c>
      <c r="D107" s="3">
        <v>3228.2</v>
      </c>
      <c r="E107" s="3">
        <v>3160</v>
      </c>
      <c r="F107" s="3">
        <v>3173.45</v>
      </c>
      <c r="G107" s="3">
        <v>3200.65</v>
      </c>
      <c r="H107" s="3">
        <v>3203.75</v>
      </c>
      <c r="I107" s="3">
        <v>3197.81</v>
      </c>
      <c r="J107" s="3">
        <v>3236.95</v>
      </c>
      <c r="K107" s="3">
        <v>1103.75</v>
      </c>
      <c r="L107" s="1" t="s">
        <v>931</v>
      </c>
      <c r="M107" s="1" t="s">
        <v>932</v>
      </c>
      <c r="N107" s="1" t="s">
        <v>933</v>
      </c>
      <c r="O107" s="7">
        <f t="shared" si="4"/>
        <v>0.95479682994848458</v>
      </c>
      <c r="P107" s="8">
        <f t="shared" si="5"/>
        <v>68.199999999999818</v>
      </c>
      <c r="Q107" s="7">
        <f t="shared" si="6"/>
        <v>13.983070114076625</v>
      </c>
      <c r="R107" s="7">
        <f t="shared" si="7"/>
        <v>-1.0256568683482852</v>
      </c>
    </row>
    <row r="108" spans="1:18" customFormat="1" ht="14.4" customHeight="1">
      <c r="A108" s="2">
        <v>45329</v>
      </c>
      <c r="B108" s="1" t="s">
        <v>14</v>
      </c>
      <c r="C108" s="3">
        <v>3220.05</v>
      </c>
      <c r="D108" s="3">
        <v>3277.95</v>
      </c>
      <c r="E108" s="3">
        <v>3210</v>
      </c>
      <c r="F108" s="3">
        <v>3203.75</v>
      </c>
      <c r="G108" s="3">
        <v>3233</v>
      </c>
      <c r="H108" s="3">
        <v>3229.85</v>
      </c>
      <c r="I108" s="3">
        <v>3242.51</v>
      </c>
      <c r="J108" s="3">
        <v>3277.95</v>
      </c>
      <c r="K108" s="3">
        <v>1103.75</v>
      </c>
      <c r="L108" s="1" t="s">
        <v>928</v>
      </c>
      <c r="M108" s="1" t="s">
        <v>929</v>
      </c>
      <c r="N108" s="1" t="s">
        <v>930</v>
      </c>
      <c r="O108" s="7">
        <f t="shared" si="4"/>
        <v>0.81467030823253717</v>
      </c>
      <c r="P108" s="8">
        <f t="shared" si="5"/>
        <v>67.949999999999818</v>
      </c>
      <c r="Q108" s="7">
        <f t="shared" si="6"/>
        <v>17.12653418098024</v>
      </c>
      <c r="R108" s="7">
        <f t="shared" si="7"/>
        <v>-1.4673805274638085</v>
      </c>
    </row>
    <row r="109" spans="1:18" customFormat="1" ht="14.4" customHeight="1">
      <c r="A109" s="2">
        <v>45330</v>
      </c>
      <c r="B109" s="1" t="s">
        <v>14</v>
      </c>
      <c r="C109" s="3">
        <v>3245.6</v>
      </c>
      <c r="D109" s="3">
        <v>3245.6</v>
      </c>
      <c r="E109" s="3">
        <v>3146.1</v>
      </c>
      <c r="F109" s="3">
        <v>3229.85</v>
      </c>
      <c r="G109" s="3">
        <v>3179</v>
      </c>
      <c r="H109" s="3">
        <v>3168.6</v>
      </c>
      <c r="I109" s="3">
        <v>3186.56</v>
      </c>
      <c r="J109" s="3">
        <v>3277.95</v>
      </c>
      <c r="K109" s="3">
        <v>1103.75</v>
      </c>
      <c r="L109" s="1" t="s">
        <v>925</v>
      </c>
      <c r="M109" s="1" t="s">
        <v>926</v>
      </c>
      <c r="N109" s="1" t="s">
        <v>927</v>
      </c>
      <c r="O109" s="7">
        <f t="shared" si="4"/>
        <v>-1.8963728965741444</v>
      </c>
      <c r="P109" s="8">
        <f t="shared" si="5"/>
        <v>99.5</v>
      </c>
      <c r="Q109" s="7">
        <f t="shared" si="6"/>
        <v>13.231130514271305</v>
      </c>
      <c r="R109" s="7">
        <f t="shared" si="7"/>
        <v>-3.3359264174255228</v>
      </c>
    </row>
    <row r="110" spans="1:18" customFormat="1" ht="14.4" customHeight="1">
      <c r="A110" s="2">
        <v>45331</v>
      </c>
      <c r="B110" s="1" t="s">
        <v>14</v>
      </c>
      <c r="C110" s="3">
        <v>3184.45</v>
      </c>
      <c r="D110" s="3">
        <v>3224.95</v>
      </c>
      <c r="E110" s="3">
        <v>3121.2</v>
      </c>
      <c r="F110" s="3">
        <v>3168.6</v>
      </c>
      <c r="G110" s="3">
        <v>3215</v>
      </c>
      <c r="H110" s="3">
        <v>3215.2</v>
      </c>
      <c r="I110" s="3">
        <v>3182.28</v>
      </c>
      <c r="J110" s="3">
        <v>3277.95</v>
      </c>
      <c r="K110" s="3">
        <v>1103.75</v>
      </c>
      <c r="L110" s="1" t="s">
        <v>923</v>
      </c>
      <c r="M110" s="1" t="s">
        <v>924</v>
      </c>
      <c r="N110" s="4">
        <v>92034</v>
      </c>
      <c r="O110" s="7">
        <f t="shared" si="4"/>
        <v>1.4706810578804492</v>
      </c>
      <c r="P110" s="8">
        <f t="shared" si="5"/>
        <v>103.75</v>
      </c>
      <c r="Q110" s="7">
        <f t="shared" si="6"/>
        <v>17.089217028489472</v>
      </c>
      <c r="R110" s="7">
        <f t="shared" si="7"/>
        <v>-1.9143061974709805</v>
      </c>
    </row>
    <row r="111" spans="1:18" customFormat="1" ht="14.4" customHeight="1">
      <c r="A111" s="2">
        <v>45334</v>
      </c>
      <c r="B111" s="1" t="s">
        <v>14</v>
      </c>
      <c r="C111" s="3">
        <v>3229</v>
      </c>
      <c r="D111" s="3">
        <v>3241.95</v>
      </c>
      <c r="E111" s="3">
        <v>3160</v>
      </c>
      <c r="F111" s="3">
        <v>3215.2</v>
      </c>
      <c r="G111" s="3">
        <v>3166</v>
      </c>
      <c r="H111" s="3">
        <v>3169.75</v>
      </c>
      <c r="I111" s="3">
        <v>3193.32</v>
      </c>
      <c r="J111" s="3">
        <v>3277.95</v>
      </c>
      <c r="K111" s="3">
        <v>1103.75</v>
      </c>
      <c r="L111" s="1" t="s">
        <v>921</v>
      </c>
      <c r="M111" s="1" t="s">
        <v>922</v>
      </c>
      <c r="N111" s="4">
        <v>64420</v>
      </c>
      <c r="O111" s="7">
        <f t="shared" si="4"/>
        <v>-1.4135979099278373</v>
      </c>
      <c r="P111" s="8">
        <f t="shared" si="5"/>
        <v>81.949999999999818</v>
      </c>
      <c r="Q111" s="7">
        <f t="shared" si="6"/>
        <v>16.813691400186279</v>
      </c>
      <c r="R111" s="7">
        <f t="shared" si="7"/>
        <v>-3.3008435150017488</v>
      </c>
    </row>
    <row r="112" spans="1:18" customFormat="1" ht="14.4" customHeight="1">
      <c r="A112" s="2">
        <v>45335</v>
      </c>
      <c r="B112" s="1" t="s">
        <v>14</v>
      </c>
      <c r="C112" s="3">
        <v>3180</v>
      </c>
      <c r="D112" s="3">
        <v>3194</v>
      </c>
      <c r="E112" s="3">
        <v>3092.05</v>
      </c>
      <c r="F112" s="3">
        <v>3169.75</v>
      </c>
      <c r="G112" s="3">
        <v>3180</v>
      </c>
      <c r="H112" s="3">
        <v>3178.45</v>
      </c>
      <c r="I112" s="3">
        <v>3142.91</v>
      </c>
      <c r="J112" s="3">
        <v>3277.95</v>
      </c>
      <c r="K112" s="3">
        <v>1103.75</v>
      </c>
      <c r="L112" s="1" t="s">
        <v>919</v>
      </c>
      <c r="M112" s="1" t="s">
        <v>920</v>
      </c>
      <c r="N112" s="4">
        <v>73578</v>
      </c>
      <c r="O112" s="7">
        <f t="shared" si="4"/>
        <v>0.27446959539395277</v>
      </c>
      <c r="P112" s="8">
        <f t="shared" si="5"/>
        <v>101.94999999999982</v>
      </c>
      <c r="Q112" s="7">
        <f t="shared" si="6"/>
        <v>16.65181168283998</v>
      </c>
      <c r="R112" s="7">
        <f t="shared" si="7"/>
        <v>-3.0354337314480091</v>
      </c>
    </row>
    <row r="113" spans="1:18" customFormat="1" ht="14.4" customHeight="1">
      <c r="A113" s="2">
        <v>45336</v>
      </c>
      <c r="B113" s="1" t="s">
        <v>14</v>
      </c>
      <c r="C113" s="3">
        <v>3184</v>
      </c>
      <c r="D113" s="3">
        <v>3255.25</v>
      </c>
      <c r="E113" s="3">
        <v>3169.85</v>
      </c>
      <c r="F113" s="3">
        <v>3178.45</v>
      </c>
      <c r="G113" s="3">
        <v>3202</v>
      </c>
      <c r="H113" s="3">
        <v>3207.2</v>
      </c>
      <c r="I113" s="3">
        <v>3212.71</v>
      </c>
      <c r="J113" s="3">
        <v>3277.95</v>
      </c>
      <c r="K113" s="3">
        <v>1103.75</v>
      </c>
      <c r="L113" s="1" t="s">
        <v>916</v>
      </c>
      <c r="M113" s="1" t="s">
        <v>917</v>
      </c>
      <c r="N113" s="1" t="s">
        <v>918</v>
      </c>
      <c r="O113" s="7">
        <f t="shared" si="4"/>
        <v>0.90452893706051696</v>
      </c>
      <c r="P113" s="8">
        <f t="shared" si="5"/>
        <v>85.400000000000091</v>
      </c>
      <c r="Q113" s="7">
        <f t="shared" si="6"/>
        <v>17.1256146976671</v>
      </c>
      <c r="R113" s="7">
        <f t="shared" si="7"/>
        <v>-2.1583611708537349</v>
      </c>
    </row>
    <row r="114" spans="1:18" customFormat="1" ht="14.4" customHeight="1">
      <c r="A114" s="2">
        <v>45337</v>
      </c>
      <c r="B114" s="1" t="s">
        <v>14</v>
      </c>
      <c r="C114" s="3">
        <v>3219.85</v>
      </c>
      <c r="D114" s="3">
        <v>3252.75</v>
      </c>
      <c r="E114" s="3">
        <v>3184.05</v>
      </c>
      <c r="F114" s="3">
        <v>3207.2</v>
      </c>
      <c r="G114" s="3">
        <v>3190.4</v>
      </c>
      <c r="H114" s="3">
        <v>3193.8</v>
      </c>
      <c r="I114" s="3">
        <v>3214.66</v>
      </c>
      <c r="J114" s="3">
        <v>3277.95</v>
      </c>
      <c r="K114" s="3">
        <v>1103.75</v>
      </c>
      <c r="L114" s="1" t="s">
        <v>914</v>
      </c>
      <c r="M114" s="1" t="s">
        <v>915</v>
      </c>
      <c r="N114" s="4">
        <v>90530</v>
      </c>
      <c r="O114" s="7">
        <f t="shared" si="4"/>
        <v>-0.41780992766274744</v>
      </c>
      <c r="P114" s="8">
        <f t="shared" si="5"/>
        <v>68.699999999999818</v>
      </c>
      <c r="Q114" s="7">
        <f t="shared" si="6"/>
        <v>22.480989727162267</v>
      </c>
      <c r="R114" s="7">
        <f t="shared" si="7"/>
        <v>-2.5671532512698376</v>
      </c>
    </row>
    <row r="115" spans="1:18" customFormat="1" ht="14.4" customHeight="1">
      <c r="A115" s="2">
        <v>45338</v>
      </c>
      <c r="B115" s="1" t="s">
        <v>14</v>
      </c>
      <c r="C115" s="3">
        <v>3214</v>
      </c>
      <c r="D115" s="3">
        <v>3252.3</v>
      </c>
      <c r="E115" s="3">
        <v>3192.65</v>
      </c>
      <c r="F115" s="3">
        <v>3193.8</v>
      </c>
      <c r="G115" s="3">
        <v>3223.2</v>
      </c>
      <c r="H115" s="3">
        <v>3223.6</v>
      </c>
      <c r="I115" s="3">
        <v>3221.58</v>
      </c>
      <c r="J115" s="3">
        <v>3277.95</v>
      </c>
      <c r="K115" s="3">
        <v>1103.75</v>
      </c>
      <c r="L115" s="1" t="s">
        <v>912</v>
      </c>
      <c r="M115" s="1" t="s">
        <v>913</v>
      </c>
      <c r="N115" s="4">
        <v>84990</v>
      </c>
      <c r="O115" s="7">
        <f t="shared" si="4"/>
        <v>0.93305779948649648</v>
      </c>
      <c r="P115" s="8">
        <f t="shared" si="5"/>
        <v>59.650000000000091</v>
      </c>
      <c r="Q115" s="7">
        <f t="shared" si="6"/>
        <v>25.810954229909402</v>
      </c>
      <c r="R115" s="7">
        <f t="shared" si="7"/>
        <v>-1.6580484754190854</v>
      </c>
    </row>
    <row r="116" spans="1:18" customFormat="1" ht="14.4" customHeight="1">
      <c r="A116" s="2">
        <v>45341</v>
      </c>
      <c r="B116" s="1" t="s">
        <v>14</v>
      </c>
      <c r="C116" s="3">
        <v>3240</v>
      </c>
      <c r="D116" s="3">
        <v>3308.6</v>
      </c>
      <c r="E116" s="3">
        <v>3235.8</v>
      </c>
      <c r="F116" s="3">
        <v>3223.6</v>
      </c>
      <c r="G116" s="3">
        <v>3265</v>
      </c>
      <c r="H116" s="3">
        <v>3258.8</v>
      </c>
      <c r="I116" s="3">
        <v>3275.82</v>
      </c>
      <c r="J116" s="3">
        <v>3308.6</v>
      </c>
      <c r="K116" s="3">
        <v>1103.75</v>
      </c>
      <c r="L116" s="1" t="s">
        <v>910</v>
      </c>
      <c r="M116" s="1" t="s">
        <v>911</v>
      </c>
      <c r="N116" s="4">
        <v>87952</v>
      </c>
      <c r="O116" s="7">
        <f t="shared" si="4"/>
        <v>1.0919468916739135</v>
      </c>
      <c r="P116" s="8">
        <f t="shared" si="5"/>
        <v>72.799999999999727</v>
      </c>
      <c r="Q116" s="7">
        <f t="shared" si="6"/>
        <v>20.231990176459888</v>
      </c>
      <c r="R116" s="7">
        <f t="shared" si="7"/>
        <v>-1.50516834915069</v>
      </c>
    </row>
    <row r="117" spans="1:18" customFormat="1" ht="14.4" customHeight="1">
      <c r="A117" s="2">
        <v>45342</v>
      </c>
      <c r="B117" s="1" t="s">
        <v>14</v>
      </c>
      <c r="C117" s="3">
        <v>3267</v>
      </c>
      <c r="D117" s="3">
        <v>3269.8</v>
      </c>
      <c r="E117" s="3">
        <v>3210.15</v>
      </c>
      <c r="F117" s="3">
        <v>3258.8</v>
      </c>
      <c r="G117" s="3">
        <v>3235</v>
      </c>
      <c r="H117" s="3">
        <v>3228.6</v>
      </c>
      <c r="I117" s="3">
        <v>3238.23</v>
      </c>
      <c r="J117" s="3">
        <v>3308.6</v>
      </c>
      <c r="K117" s="3">
        <v>1103.75</v>
      </c>
      <c r="L117" s="1" t="s">
        <v>908</v>
      </c>
      <c r="M117" s="1" t="s">
        <v>909</v>
      </c>
      <c r="N117" s="4">
        <v>61717</v>
      </c>
      <c r="O117" s="7">
        <f t="shared" si="4"/>
        <v>-0.92672149257396197</v>
      </c>
      <c r="P117" s="8">
        <f t="shared" si="5"/>
        <v>59.650000000000091</v>
      </c>
      <c r="Q117" s="7">
        <f t="shared" si="6"/>
        <v>23.779995787222322</v>
      </c>
      <c r="R117" s="7">
        <f t="shared" si="7"/>
        <v>-2.4179411231336516</v>
      </c>
    </row>
    <row r="118" spans="1:18" customFormat="1" ht="14.4" customHeight="1">
      <c r="A118" s="2">
        <v>45343</v>
      </c>
      <c r="B118" s="1" t="s">
        <v>14</v>
      </c>
      <c r="C118" s="3">
        <v>3238</v>
      </c>
      <c r="D118" s="3">
        <v>3300</v>
      </c>
      <c r="E118" s="3">
        <v>3205</v>
      </c>
      <c r="F118" s="3">
        <v>3228.6</v>
      </c>
      <c r="G118" s="3">
        <v>3226.95</v>
      </c>
      <c r="H118" s="3">
        <v>3223.2</v>
      </c>
      <c r="I118" s="3">
        <v>3258</v>
      </c>
      <c r="J118" s="3">
        <v>3308.6</v>
      </c>
      <c r="K118" s="3">
        <v>1103.75</v>
      </c>
      <c r="L118" s="1" t="s">
        <v>905</v>
      </c>
      <c r="M118" s="1" t="s">
        <v>906</v>
      </c>
      <c r="N118" s="1" t="s">
        <v>907</v>
      </c>
      <c r="O118" s="7">
        <f t="shared" si="4"/>
        <v>-0.16725515703401136</v>
      </c>
      <c r="P118" s="8">
        <f t="shared" si="5"/>
        <v>95</v>
      </c>
      <c r="Q118" s="7">
        <f t="shared" si="6"/>
        <v>15.64703493862134</v>
      </c>
      <c r="R118" s="7">
        <f t="shared" si="7"/>
        <v>-2.5811521489451761</v>
      </c>
    </row>
    <row r="119" spans="1:18" customFormat="1" ht="14.4" customHeight="1">
      <c r="A119" s="2">
        <v>45344</v>
      </c>
      <c r="B119" s="1" t="s">
        <v>14</v>
      </c>
      <c r="C119" s="3">
        <v>3239</v>
      </c>
      <c r="D119" s="3">
        <v>3274</v>
      </c>
      <c r="E119" s="3">
        <v>3210.5</v>
      </c>
      <c r="F119" s="3">
        <v>3223.2</v>
      </c>
      <c r="G119" s="3">
        <v>3261.3</v>
      </c>
      <c r="H119" s="3">
        <v>3263.05</v>
      </c>
      <c r="I119" s="3">
        <v>3236.68</v>
      </c>
      <c r="J119" s="3">
        <v>3308.6</v>
      </c>
      <c r="K119" s="3">
        <v>1103.75</v>
      </c>
      <c r="L119" s="1" t="s">
        <v>903</v>
      </c>
      <c r="M119" s="1" t="s">
        <v>904</v>
      </c>
      <c r="N119" s="4">
        <v>88963</v>
      </c>
      <c r="O119" s="7">
        <f t="shared" si="4"/>
        <v>1.2363489699677452</v>
      </c>
      <c r="P119" s="8">
        <f t="shared" si="5"/>
        <v>63.5</v>
      </c>
      <c r="Q119" s="7">
        <f t="shared" si="6"/>
        <v>12.799950541236244</v>
      </c>
      <c r="R119" s="7">
        <f t="shared" si="7"/>
        <v>-1.3767152269842147</v>
      </c>
    </row>
    <row r="120" spans="1:18" customFormat="1" ht="14.4" customHeight="1">
      <c r="A120" s="2">
        <v>45345</v>
      </c>
      <c r="B120" s="1" t="s">
        <v>14</v>
      </c>
      <c r="C120" s="3">
        <v>3263.05</v>
      </c>
      <c r="D120" s="3">
        <v>3319.95</v>
      </c>
      <c r="E120" s="3">
        <v>3225.1</v>
      </c>
      <c r="F120" s="3">
        <v>3263.05</v>
      </c>
      <c r="G120" s="3">
        <v>3273.05</v>
      </c>
      <c r="H120" s="3">
        <v>3273.3</v>
      </c>
      <c r="I120" s="3">
        <v>3281.89</v>
      </c>
      <c r="J120" s="3">
        <v>3319.95</v>
      </c>
      <c r="K120" s="3">
        <v>1103.75</v>
      </c>
      <c r="L120" s="1" t="s">
        <v>901</v>
      </c>
      <c r="M120" s="1" t="s">
        <v>902</v>
      </c>
      <c r="N120" s="4">
        <v>84335</v>
      </c>
      <c r="O120" s="7">
        <f t="shared" si="4"/>
        <v>0.3141232895603806</v>
      </c>
      <c r="P120" s="8">
        <f t="shared" si="5"/>
        <v>94.849999999999909</v>
      </c>
      <c r="Q120" s="7">
        <f t="shared" si="6"/>
        <v>23.418924527183258</v>
      </c>
      <c r="R120" s="7">
        <f t="shared" si="7"/>
        <v>-1.4051416436994424</v>
      </c>
    </row>
    <row r="121" spans="1:18" customFormat="1" ht="14.4" customHeight="1">
      <c r="A121" s="2">
        <v>45348</v>
      </c>
      <c r="B121" s="1" t="s">
        <v>14</v>
      </c>
      <c r="C121" s="3">
        <v>3272</v>
      </c>
      <c r="D121" s="3">
        <v>3344</v>
      </c>
      <c r="E121" s="3">
        <v>3263</v>
      </c>
      <c r="F121" s="3">
        <v>3273.3</v>
      </c>
      <c r="G121" s="3">
        <v>3328</v>
      </c>
      <c r="H121" s="3">
        <v>3327.75</v>
      </c>
      <c r="I121" s="3">
        <v>3318.26</v>
      </c>
      <c r="J121" s="3">
        <v>3344</v>
      </c>
      <c r="K121" s="3">
        <v>1103.75</v>
      </c>
      <c r="L121" s="1" t="s">
        <v>898</v>
      </c>
      <c r="M121" s="1" t="s">
        <v>899</v>
      </c>
      <c r="N121" s="1" t="s">
        <v>900</v>
      </c>
      <c r="O121" s="7">
        <f t="shared" si="4"/>
        <v>1.6634588946934232</v>
      </c>
      <c r="P121" s="8">
        <f t="shared" si="5"/>
        <v>81</v>
      </c>
      <c r="Q121" s="7">
        <f t="shared" si="6"/>
        <v>16.166781096235269</v>
      </c>
      <c r="R121" s="7">
        <f t="shared" si="7"/>
        <v>-0.48594497607655507</v>
      </c>
    </row>
    <row r="122" spans="1:18" customFormat="1" ht="14.4" customHeight="1">
      <c r="A122" s="2">
        <v>45349</v>
      </c>
      <c r="B122" s="1" t="s">
        <v>14</v>
      </c>
      <c r="C122" s="3">
        <v>3339</v>
      </c>
      <c r="D122" s="3">
        <v>3340</v>
      </c>
      <c r="E122" s="3">
        <v>3273</v>
      </c>
      <c r="F122" s="3">
        <v>3327.75</v>
      </c>
      <c r="G122" s="3">
        <v>3296</v>
      </c>
      <c r="H122" s="3">
        <v>3302.3</v>
      </c>
      <c r="I122" s="3">
        <v>3306.04</v>
      </c>
      <c r="J122" s="3">
        <v>3344</v>
      </c>
      <c r="K122" s="3">
        <v>1103.75</v>
      </c>
      <c r="L122" s="1" t="s">
        <v>896</v>
      </c>
      <c r="M122" s="1" t="s">
        <v>897</v>
      </c>
      <c r="N122" s="4">
        <v>65439</v>
      </c>
      <c r="O122" s="7">
        <f t="shared" si="4"/>
        <v>-0.76478100818871064</v>
      </c>
      <c r="P122" s="8">
        <f t="shared" si="5"/>
        <v>67</v>
      </c>
      <c r="Q122" s="7">
        <f t="shared" si="6"/>
        <v>17.200293403016548</v>
      </c>
      <c r="R122" s="7">
        <f t="shared" si="7"/>
        <v>-1.247009569377985</v>
      </c>
    </row>
    <row r="123" spans="1:18" customFormat="1" ht="14.4" customHeight="1">
      <c r="A123" s="2">
        <v>45350</v>
      </c>
      <c r="B123" s="1" t="s">
        <v>14</v>
      </c>
      <c r="C123" s="3">
        <v>3309.2</v>
      </c>
      <c r="D123" s="3">
        <v>3318.8</v>
      </c>
      <c r="E123" s="3">
        <v>3207.5</v>
      </c>
      <c r="F123" s="3">
        <v>3302.3</v>
      </c>
      <c r="G123" s="3">
        <v>3218.9</v>
      </c>
      <c r="H123" s="3">
        <v>3219</v>
      </c>
      <c r="I123" s="3">
        <v>3252.19</v>
      </c>
      <c r="J123" s="3">
        <v>3344</v>
      </c>
      <c r="K123" s="3">
        <v>1103.75</v>
      </c>
      <c r="L123" s="1" t="s">
        <v>894</v>
      </c>
      <c r="M123" s="1" t="s">
        <v>895</v>
      </c>
      <c r="N123" s="4">
        <v>98070</v>
      </c>
      <c r="O123" s="7">
        <f t="shared" si="4"/>
        <v>-2.5224843291039631</v>
      </c>
      <c r="P123" s="8">
        <f t="shared" si="5"/>
        <v>111.30000000000018</v>
      </c>
      <c r="Q123" s="7">
        <f t="shared" si="6"/>
        <v>13.856214948506169</v>
      </c>
      <c r="R123" s="7">
        <f t="shared" si="7"/>
        <v>-3.7380382775119618</v>
      </c>
    </row>
    <row r="124" spans="1:18" customFormat="1" ht="14.4" customHeight="1">
      <c r="A124" s="2">
        <v>45351</v>
      </c>
      <c r="B124" s="1" t="s">
        <v>14</v>
      </c>
      <c r="C124" s="3">
        <v>3220.05</v>
      </c>
      <c r="D124" s="3">
        <v>3304.75</v>
      </c>
      <c r="E124" s="3">
        <v>3205.35</v>
      </c>
      <c r="F124" s="3">
        <v>3219</v>
      </c>
      <c r="G124" s="3">
        <v>3299.9</v>
      </c>
      <c r="H124" s="3">
        <v>3285.4</v>
      </c>
      <c r="I124" s="3">
        <v>3260.07</v>
      </c>
      <c r="J124" s="3">
        <v>3344</v>
      </c>
      <c r="K124" s="3">
        <v>1103.75</v>
      </c>
      <c r="L124" s="1" t="s">
        <v>892</v>
      </c>
      <c r="M124" s="1" t="s">
        <v>893</v>
      </c>
      <c r="N124" s="4">
        <v>95429</v>
      </c>
      <c r="O124" s="7">
        <f t="shared" si="4"/>
        <v>2.0627524075799966</v>
      </c>
      <c r="P124" s="8">
        <f t="shared" si="5"/>
        <v>99.400000000000091</v>
      </c>
      <c r="Q124" s="7">
        <f t="shared" si="6"/>
        <v>14.177954290624443</v>
      </c>
      <c r="R124" s="7">
        <f t="shared" si="7"/>
        <v>-1.7523923444976048</v>
      </c>
    </row>
    <row r="125" spans="1:18" customFormat="1" ht="14.4" customHeight="1">
      <c r="A125" s="2">
        <v>45352</v>
      </c>
      <c r="B125" s="1" t="s">
        <v>14</v>
      </c>
      <c r="C125" s="3">
        <v>3309.85</v>
      </c>
      <c r="D125" s="3">
        <v>3346</v>
      </c>
      <c r="E125" s="3">
        <v>3281.8</v>
      </c>
      <c r="F125" s="3">
        <v>3285.4</v>
      </c>
      <c r="G125" s="3">
        <v>3321.5</v>
      </c>
      <c r="H125" s="3">
        <v>3318.75</v>
      </c>
      <c r="I125" s="3">
        <v>3314.26</v>
      </c>
      <c r="J125" s="3">
        <v>3346</v>
      </c>
      <c r="K125" s="3">
        <v>1103.75</v>
      </c>
      <c r="L125" s="1" t="s">
        <v>890</v>
      </c>
      <c r="M125" s="1" t="s">
        <v>891</v>
      </c>
      <c r="N125" s="4">
        <v>64364</v>
      </c>
      <c r="O125" s="7">
        <f t="shared" si="4"/>
        <v>1.0150970962439858</v>
      </c>
      <c r="P125" s="8">
        <f t="shared" si="5"/>
        <v>64.199999999999818</v>
      </c>
      <c r="Q125" s="7">
        <f t="shared" si="6"/>
        <v>18.039074637996396</v>
      </c>
      <c r="R125" s="7">
        <f t="shared" si="7"/>
        <v>-0.81440526001195446</v>
      </c>
    </row>
    <row r="126" spans="1:18" customFormat="1" ht="14.4" customHeight="1">
      <c r="A126" s="2">
        <v>45353</v>
      </c>
      <c r="B126" s="1" t="s">
        <v>14</v>
      </c>
      <c r="C126" s="3">
        <v>3332</v>
      </c>
      <c r="D126" s="3">
        <v>3348.7</v>
      </c>
      <c r="E126" s="3">
        <v>3321.5</v>
      </c>
      <c r="F126" s="3">
        <v>3318.75</v>
      </c>
      <c r="G126" s="3">
        <v>3332.5</v>
      </c>
      <c r="H126" s="3">
        <v>3333.25</v>
      </c>
      <c r="I126" s="3">
        <v>3333.12</v>
      </c>
      <c r="J126" s="3">
        <v>3348.7</v>
      </c>
      <c r="K126" s="3">
        <v>1103.75</v>
      </c>
      <c r="L126" s="1" t="s">
        <v>888</v>
      </c>
      <c r="M126" s="1" t="s">
        <v>889</v>
      </c>
      <c r="N126" s="4">
        <v>9160</v>
      </c>
      <c r="O126" s="7">
        <f t="shared" si="4"/>
        <v>0.43691148775894539</v>
      </c>
      <c r="P126" s="8">
        <f t="shared" si="5"/>
        <v>27.199999999999818</v>
      </c>
      <c r="Q126" s="7">
        <f t="shared" si="6"/>
        <v>13.047052401746726</v>
      </c>
      <c r="R126" s="7">
        <f t="shared" si="7"/>
        <v>-0.4613730701466186</v>
      </c>
    </row>
    <row r="127" spans="1:18" customFormat="1" ht="14.4" customHeight="1">
      <c r="A127" s="2">
        <v>45355</v>
      </c>
      <c r="B127" s="1" t="s">
        <v>14</v>
      </c>
      <c r="C127" s="3">
        <v>3335</v>
      </c>
      <c r="D127" s="3">
        <v>3350</v>
      </c>
      <c r="E127" s="3">
        <v>3310.05</v>
      </c>
      <c r="F127" s="3">
        <v>3333.25</v>
      </c>
      <c r="G127" s="3">
        <v>3320.95</v>
      </c>
      <c r="H127" s="3">
        <v>3317.15</v>
      </c>
      <c r="I127" s="3">
        <v>3325.35</v>
      </c>
      <c r="J127" s="3">
        <v>3350</v>
      </c>
      <c r="K127" s="3">
        <v>1573</v>
      </c>
      <c r="L127" s="1" t="s">
        <v>886</v>
      </c>
      <c r="M127" s="1" t="s">
        <v>887</v>
      </c>
      <c r="N127" s="4">
        <v>59907</v>
      </c>
      <c r="O127" s="7">
        <f t="shared" si="4"/>
        <v>-0.48301207530187984</v>
      </c>
      <c r="P127" s="8">
        <f t="shared" si="5"/>
        <v>39.949999999999818</v>
      </c>
      <c r="Q127" s="7">
        <f t="shared" si="6"/>
        <v>17.714858029946416</v>
      </c>
      <c r="R127" s="7">
        <f t="shared" si="7"/>
        <v>-0.98059701492537044</v>
      </c>
    </row>
    <row r="128" spans="1:18" customFormat="1" ht="14.4" customHeight="1">
      <c r="A128" s="2">
        <v>45356</v>
      </c>
      <c r="B128" s="1" t="s">
        <v>14</v>
      </c>
      <c r="C128" s="3">
        <v>3325.3</v>
      </c>
      <c r="D128" s="3">
        <v>3334</v>
      </c>
      <c r="E128" s="3">
        <v>3295.05</v>
      </c>
      <c r="F128" s="3">
        <v>3317.15</v>
      </c>
      <c r="G128" s="3">
        <v>3328</v>
      </c>
      <c r="H128" s="3">
        <v>3310.2</v>
      </c>
      <c r="I128" s="3">
        <v>3314.16</v>
      </c>
      <c r="J128" s="3">
        <v>3350</v>
      </c>
      <c r="K128" s="3">
        <v>1573</v>
      </c>
      <c r="L128" s="1" t="s">
        <v>884</v>
      </c>
      <c r="M128" s="1" t="s">
        <v>885</v>
      </c>
      <c r="N128" s="4">
        <v>68687</v>
      </c>
      <c r="O128" s="7">
        <f t="shared" si="4"/>
        <v>-0.2095172060353096</v>
      </c>
      <c r="P128" s="8">
        <f t="shared" si="5"/>
        <v>38.949999999999818</v>
      </c>
      <c r="Q128" s="7">
        <f t="shared" si="6"/>
        <v>17.331023337749503</v>
      </c>
      <c r="R128" s="7">
        <f t="shared" si="7"/>
        <v>-1.1880597014925427</v>
      </c>
    </row>
    <row r="129" spans="1:18" customFormat="1" ht="14.4" customHeight="1">
      <c r="A129" s="2">
        <v>45357</v>
      </c>
      <c r="B129" s="1" t="s">
        <v>14</v>
      </c>
      <c r="C129" s="3">
        <v>3323</v>
      </c>
      <c r="D129" s="3">
        <v>3323</v>
      </c>
      <c r="E129" s="3">
        <v>3183.15</v>
      </c>
      <c r="F129" s="3">
        <v>3310.2</v>
      </c>
      <c r="G129" s="3">
        <v>3238</v>
      </c>
      <c r="H129" s="3">
        <v>3233.95</v>
      </c>
      <c r="I129" s="3">
        <v>3226.77</v>
      </c>
      <c r="J129" s="3">
        <v>3350</v>
      </c>
      <c r="K129" s="3">
        <v>1573</v>
      </c>
      <c r="L129" s="1" t="s">
        <v>881</v>
      </c>
      <c r="M129" s="1" t="s">
        <v>882</v>
      </c>
      <c r="N129" s="1" t="s">
        <v>883</v>
      </c>
      <c r="O129" s="7">
        <f t="shared" si="4"/>
        <v>-2.3034861941876628</v>
      </c>
      <c r="P129" s="8">
        <f t="shared" si="5"/>
        <v>139.84999999999991</v>
      </c>
      <c r="Q129" s="7">
        <f t="shared" si="6"/>
        <v>17.366672051116375</v>
      </c>
      <c r="R129" s="7">
        <f t="shared" si="7"/>
        <v>-3.4641791044776173</v>
      </c>
    </row>
    <row r="130" spans="1:18" customFormat="1" ht="14.4" customHeight="1">
      <c r="A130" s="2">
        <v>45358</v>
      </c>
      <c r="B130" s="1" t="s">
        <v>14</v>
      </c>
      <c r="C130" s="3">
        <v>3240</v>
      </c>
      <c r="D130" s="3">
        <v>3262</v>
      </c>
      <c r="E130" s="3">
        <v>3220</v>
      </c>
      <c r="F130" s="3">
        <v>3233.95</v>
      </c>
      <c r="G130" s="3">
        <v>3229</v>
      </c>
      <c r="H130" s="3">
        <v>3226.55</v>
      </c>
      <c r="I130" s="3">
        <v>3240.29</v>
      </c>
      <c r="J130" s="3">
        <v>3350</v>
      </c>
      <c r="K130" s="3">
        <v>1573</v>
      </c>
      <c r="L130" s="1" t="s">
        <v>879</v>
      </c>
      <c r="M130" s="1" t="s">
        <v>880</v>
      </c>
      <c r="N130" s="4">
        <v>52628</v>
      </c>
      <c r="O130" s="7">
        <f t="shared" ref="O130:O193" si="8">((H130-F130)/F130)*100</f>
        <v>-0.22882233800768834</v>
      </c>
      <c r="P130" s="8">
        <f t="shared" ref="P130:P193" si="9">(D130-E130)</f>
        <v>42</v>
      </c>
      <c r="Q130" s="7">
        <f t="shared" ref="Q130:Q193" si="10">IF(N130=0,0,L130/N130)</f>
        <v>16.271338451014667</v>
      </c>
      <c r="R130" s="7">
        <f t="shared" ref="R130:R193" si="11">((H130-J130)/J130)*100</f>
        <v>-3.6850746268656662</v>
      </c>
    </row>
    <row r="131" spans="1:18" customFormat="1" ht="14.4" customHeight="1">
      <c r="A131" s="2">
        <v>45362</v>
      </c>
      <c r="B131" s="1" t="s">
        <v>14</v>
      </c>
      <c r="C131" s="3">
        <v>3241.2</v>
      </c>
      <c r="D131" s="3">
        <v>3259</v>
      </c>
      <c r="E131" s="3">
        <v>3200</v>
      </c>
      <c r="F131" s="3">
        <v>3226.55</v>
      </c>
      <c r="G131" s="3">
        <v>3210</v>
      </c>
      <c r="H131" s="3">
        <v>3207.35</v>
      </c>
      <c r="I131" s="3">
        <v>3229.54</v>
      </c>
      <c r="J131" s="3">
        <v>3350</v>
      </c>
      <c r="K131" s="3">
        <v>1573</v>
      </c>
      <c r="L131" s="1" t="s">
        <v>877</v>
      </c>
      <c r="M131" s="1" t="s">
        <v>878</v>
      </c>
      <c r="N131" s="4">
        <v>48887</v>
      </c>
      <c r="O131" s="7">
        <f t="shared" si="8"/>
        <v>-0.59506283801584581</v>
      </c>
      <c r="P131" s="8">
        <f t="shared" si="9"/>
        <v>59</v>
      </c>
      <c r="Q131" s="7">
        <f t="shared" si="10"/>
        <v>15.113445292204471</v>
      </c>
      <c r="R131" s="7">
        <f t="shared" si="11"/>
        <v>-4.2582089552238838</v>
      </c>
    </row>
    <row r="132" spans="1:18" customFormat="1" ht="14.4" customHeight="1">
      <c r="A132" s="2">
        <v>45363</v>
      </c>
      <c r="B132" s="1" t="s">
        <v>14</v>
      </c>
      <c r="C132" s="3">
        <v>3207.35</v>
      </c>
      <c r="D132" s="3">
        <v>3222.7</v>
      </c>
      <c r="E132" s="3">
        <v>3111</v>
      </c>
      <c r="F132" s="3">
        <v>3207.35</v>
      </c>
      <c r="G132" s="3">
        <v>3122.9</v>
      </c>
      <c r="H132" s="3">
        <v>3122.5</v>
      </c>
      <c r="I132" s="3">
        <v>3156.27</v>
      </c>
      <c r="J132" s="3">
        <v>3350</v>
      </c>
      <c r="K132" s="3">
        <v>1573</v>
      </c>
      <c r="L132" s="1" t="s">
        <v>875</v>
      </c>
      <c r="M132" s="1" t="s">
        <v>876</v>
      </c>
      <c r="N132" s="4">
        <v>86164</v>
      </c>
      <c r="O132" s="7">
        <f t="shared" si="8"/>
        <v>-2.6454861490015094</v>
      </c>
      <c r="P132" s="8">
        <f t="shared" si="9"/>
        <v>111.69999999999982</v>
      </c>
      <c r="Q132" s="7">
        <f t="shared" si="10"/>
        <v>13.92097627779583</v>
      </c>
      <c r="R132" s="7">
        <f t="shared" si="11"/>
        <v>-6.7910447761194019</v>
      </c>
    </row>
    <row r="133" spans="1:18" customFormat="1" ht="14.4" customHeight="1">
      <c r="A133" s="2">
        <v>45364</v>
      </c>
      <c r="B133" s="1" t="s">
        <v>14</v>
      </c>
      <c r="C133" s="3">
        <v>3125</v>
      </c>
      <c r="D133" s="3">
        <v>3138.05</v>
      </c>
      <c r="E133" s="3">
        <v>2850.15</v>
      </c>
      <c r="F133" s="3">
        <v>3122.5</v>
      </c>
      <c r="G133" s="3">
        <v>2909.8</v>
      </c>
      <c r="H133" s="3">
        <v>2906.2</v>
      </c>
      <c r="I133" s="3">
        <v>2950.44</v>
      </c>
      <c r="J133" s="3">
        <v>3350</v>
      </c>
      <c r="K133" s="3">
        <v>1573</v>
      </c>
      <c r="L133" s="1" t="s">
        <v>872</v>
      </c>
      <c r="M133" s="1" t="s">
        <v>873</v>
      </c>
      <c r="N133" s="1" t="s">
        <v>874</v>
      </c>
      <c r="O133" s="7">
        <f t="shared" si="8"/>
        <v>-6.9271417133707018</v>
      </c>
      <c r="P133" s="8">
        <f t="shared" si="9"/>
        <v>287.90000000000009</v>
      </c>
      <c r="Q133" s="7">
        <f t="shared" si="10"/>
        <v>14.326851914149229</v>
      </c>
      <c r="R133" s="7">
        <f t="shared" si="11"/>
        <v>-13.247761194029856</v>
      </c>
    </row>
    <row r="134" spans="1:18" customFormat="1" ht="14.4" customHeight="1">
      <c r="A134" s="2">
        <v>45365</v>
      </c>
      <c r="B134" s="1" t="s">
        <v>14</v>
      </c>
      <c r="C134" s="3">
        <v>2927.45</v>
      </c>
      <c r="D134" s="3">
        <v>3101.2</v>
      </c>
      <c r="E134" s="3">
        <v>2880</v>
      </c>
      <c r="F134" s="3">
        <v>2906.2</v>
      </c>
      <c r="G134" s="3">
        <v>3085</v>
      </c>
      <c r="H134" s="3">
        <v>3087.45</v>
      </c>
      <c r="I134" s="3">
        <v>3033.64</v>
      </c>
      <c r="J134" s="3">
        <v>3350</v>
      </c>
      <c r="K134" s="3">
        <v>1573</v>
      </c>
      <c r="L134" s="1" t="s">
        <v>869</v>
      </c>
      <c r="M134" s="1" t="s">
        <v>870</v>
      </c>
      <c r="N134" s="1" t="s">
        <v>871</v>
      </c>
      <c r="O134" s="7">
        <f t="shared" si="8"/>
        <v>6.2366664372720395</v>
      </c>
      <c r="P134" s="8">
        <f t="shared" si="9"/>
        <v>221.19999999999982</v>
      </c>
      <c r="Q134" s="7">
        <f t="shared" si="10"/>
        <v>15.242169285352256</v>
      </c>
      <c r="R134" s="7">
        <f t="shared" si="11"/>
        <v>-7.8373134328358267</v>
      </c>
    </row>
    <row r="135" spans="1:18" customFormat="1" ht="14.4" customHeight="1">
      <c r="A135" s="2">
        <v>45366</v>
      </c>
      <c r="B135" s="1" t="s">
        <v>14</v>
      </c>
      <c r="C135" s="3">
        <v>3111</v>
      </c>
      <c r="D135" s="3">
        <v>3143.4</v>
      </c>
      <c r="E135" s="3">
        <v>3061.25</v>
      </c>
      <c r="F135" s="3">
        <v>3087.45</v>
      </c>
      <c r="G135" s="3">
        <v>3125</v>
      </c>
      <c r="H135" s="3">
        <v>3132.2</v>
      </c>
      <c r="I135" s="3">
        <v>3108.38</v>
      </c>
      <c r="J135" s="3">
        <v>3350</v>
      </c>
      <c r="K135" s="3">
        <v>1573</v>
      </c>
      <c r="L135" s="1" t="s">
        <v>866</v>
      </c>
      <c r="M135" s="1" t="s">
        <v>867</v>
      </c>
      <c r="N135" s="1" t="s">
        <v>868</v>
      </c>
      <c r="O135" s="7">
        <f t="shared" si="8"/>
        <v>1.449416184877488</v>
      </c>
      <c r="P135" s="8">
        <f t="shared" si="9"/>
        <v>82.150000000000091</v>
      </c>
      <c r="Q135" s="7">
        <f t="shared" si="10"/>
        <v>18.287531912416529</v>
      </c>
      <c r="R135" s="7">
        <f t="shared" si="11"/>
        <v>-6.5014925373134389</v>
      </c>
    </row>
    <row r="136" spans="1:18" customFormat="1" ht="14.4" customHeight="1">
      <c r="A136" s="2">
        <v>45369</v>
      </c>
      <c r="B136" s="1" t="s">
        <v>14</v>
      </c>
      <c r="C136" s="3">
        <v>3050.1</v>
      </c>
      <c r="D136" s="3">
        <v>3124</v>
      </c>
      <c r="E136" s="3">
        <v>2976.05</v>
      </c>
      <c r="F136" s="3">
        <v>3132.2</v>
      </c>
      <c r="G136" s="3">
        <v>3110</v>
      </c>
      <c r="H136" s="3">
        <v>3111.75</v>
      </c>
      <c r="I136" s="3">
        <v>3053.4</v>
      </c>
      <c r="J136" s="3">
        <v>3350</v>
      </c>
      <c r="K136" s="3">
        <v>1573</v>
      </c>
      <c r="L136" s="1" t="s">
        <v>863</v>
      </c>
      <c r="M136" s="1" t="s">
        <v>864</v>
      </c>
      <c r="N136" s="1" t="s">
        <v>865</v>
      </c>
      <c r="O136" s="7">
        <f t="shared" si="8"/>
        <v>-0.65289572824212438</v>
      </c>
      <c r="P136" s="8">
        <f t="shared" si="9"/>
        <v>147.94999999999982</v>
      </c>
      <c r="Q136" s="7">
        <f t="shared" si="10"/>
        <v>19.064691175456954</v>
      </c>
      <c r="R136" s="7">
        <f t="shared" si="11"/>
        <v>-7.1119402985074629</v>
      </c>
    </row>
    <row r="137" spans="1:18" customFormat="1" ht="14.4" customHeight="1">
      <c r="A137" s="2">
        <v>45370</v>
      </c>
      <c r="B137" s="1" t="s">
        <v>14</v>
      </c>
      <c r="C137" s="3">
        <v>3126</v>
      </c>
      <c r="D137" s="3">
        <v>3164.8</v>
      </c>
      <c r="E137" s="3">
        <v>3041.85</v>
      </c>
      <c r="F137" s="3">
        <v>3111.75</v>
      </c>
      <c r="G137" s="3">
        <v>3055.9</v>
      </c>
      <c r="H137" s="3">
        <v>3052.7</v>
      </c>
      <c r="I137" s="3">
        <v>3093.78</v>
      </c>
      <c r="J137" s="3">
        <v>3350</v>
      </c>
      <c r="K137" s="3">
        <v>1573</v>
      </c>
      <c r="L137" s="1" t="s">
        <v>861</v>
      </c>
      <c r="M137" s="1" t="s">
        <v>862</v>
      </c>
      <c r="N137" s="4">
        <v>92875</v>
      </c>
      <c r="O137" s="7">
        <f t="shared" si="8"/>
        <v>-1.8976460191210791</v>
      </c>
      <c r="P137" s="8">
        <f t="shared" si="9"/>
        <v>122.95000000000027</v>
      </c>
      <c r="Q137" s="7">
        <f t="shared" si="10"/>
        <v>15.72492059219381</v>
      </c>
      <c r="R137" s="7">
        <f t="shared" si="11"/>
        <v>-8.8746268656716474</v>
      </c>
    </row>
    <row r="138" spans="1:18" customFormat="1" ht="14.4" customHeight="1">
      <c r="A138" s="2">
        <v>45371</v>
      </c>
      <c r="B138" s="1" t="s">
        <v>14</v>
      </c>
      <c r="C138" s="3">
        <v>3075</v>
      </c>
      <c r="D138" s="3">
        <v>3083.2</v>
      </c>
      <c r="E138" s="3">
        <v>3021.1</v>
      </c>
      <c r="F138" s="3">
        <v>3052.7</v>
      </c>
      <c r="G138" s="3">
        <v>3050.1</v>
      </c>
      <c r="H138" s="3">
        <v>3051.45</v>
      </c>
      <c r="I138" s="3">
        <v>3046.55</v>
      </c>
      <c r="J138" s="3">
        <v>3350</v>
      </c>
      <c r="K138" s="3">
        <v>1573</v>
      </c>
      <c r="L138" s="1" t="s">
        <v>859</v>
      </c>
      <c r="M138" s="1" t="s">
        <v>860</v>
      </c>
      <c r="N138" s="4">
        <v>64232</v>
      </c>
      <c r="O138" s="7">
        <f t="shared" si="8"/>
        <v>-4.0947358076456906E-2</v>
      </c>
      <c r="P138" s="8">
        <f t="shared" si="9"/>
        <v>62.099999999999909</v>
      </c>
      <c r="Q138" s="7">
        <f t="shared" si="10"/>
        <v>15.046721260430937</v>
      </c>
      <c r="R138" s="7">
        <f t="shared" si="11"/>
        <v>-8.9119402985074672</v>
      </c>
    </row>
    <row r="139" spans="1:18" customFormat="1" ht="14.4" customHeight="1">
      <c r="A139" s="2">
        <v>45372</v>
      </c>
      <c r="B139" s="1" t="s">
        <v>14</v>
      </c>
      <c r="C139" s="3">
        <v>3089.55</v>
      </c>
      <c r="D139" s="3">
        <v>3107.1</v>
      </c>
      <c r="E139" s="3">
        <v>3059.6</v>
      </c>
      <c r="F139" s="3">
        <v>3051.45</v>
      </c>
      <c r="G139" s="3">
        <v>3071.65</v>
      </c>
      <c r="H139" s="3">
        <v>3066.5</v>
      </c>
      <c r="I139" s="3">
        <v>3080.51</v>
      </c>
      <c r="J139" s="3">
        <v>3350</v>
      </c>
      <c r="K139" s="3">
        <v>1573</v>
      </c>
      <c r="L139" s="1" t="s">
        <v>857</v>
      </c>
      <c r="M139" s="1" t="s">
        <v>858</v>
      </c>
      <c r="N139" s="4">
        <v>67248</v>
      </c>
      <c r="O139" s="7">
        <f t="shared" si="8"/>
        <v>0.49320814694653958</v>
      </c>
      <c r="P139" s="8">
        <f t="shared" si="9"/>
        <v>47.5</v>
      </c>
      <c r="Q139" s="7">
        <f t="shared" si="10"/>
        <v>17.483806209850108</v>
      </c>
      <c r="R139" s="7">
        <f t="shared" si="11"/>
        <v>-8.4626865671641802</v>
      </c>
    </row>
    <row r="140" spans="1:18" customFormat="1" ht="14.4" customHeight="1">
      <c r="A140" s="2">
        <v>45373</v>
      </c>
      <c r="B140" s="1" t="s">
        <v>14</v>
      </c>
      <c r="C140" s="3">
        <v>3066.55</v>
      </c>
      <c r="D140" s="3">
        <v>3128.95</v>
      </c>
      <c r="E140" s="3">
        <v>3048.05</v>
      </c>
      <c r="F140" s="3">
        <v>3066.5</v>
      </c>
      <c r="G140" s="3">
        <v>3103</v>
      </c>
      <c r="H140" s="3">
        <v>3107.7</v>
      </c>
      <c r="I140" s="3">
        <v>3095.08</v>
      </c>
      <c r="J140" s="3">
        <v>3350</v>
      </c>
      <c r="K140" s="3">
        <v>1573</v>
      </c>
      <c r="L140" s="1" t="s">
        <v>855</v>
      </c>
      <c r="M140" s="1" t="s">
        <v>856</v>
      </c>
      <c r="N140" s="4">
        <v>63264</v>
      </c>
      <c r="O140" s="7">
        <f t="shared" si="8"/>
        <v>1.3435512799608615</v>
      </c>
      <c r="P140" s="8">
        <f t="shared" si="9"/>
        <v>80.899999999999636</v>
      </c>
      <c r="Q140" s="7">
        <f t="shared" si="10"/>
        <v>15.041050202326758</v>
      </c>
      <c r="R140" s="7">
        <f t="shared" si="11"/>
        <v>-7.2328358208955281</v>
      </c>
    </row>
    <row r="141" spans="1:18" customFormat="1" ht="14.4" customHeight="1">
      <c r="A141" s="2">
        <v>45377</v>
      </c>
      <c r="B141" s="1" t="s">
        <v>14</v>
      </c>
      <c r="C141" s="3">
        <v>3100.5</v>
      </c>
      <c r="D141" s="3">
        <v>3171.95</v>
      </c>
      <c r="E141" s="3">
        <v>3089.1</v>
      </c>
      <c r="F141" s="3">
        <v>3107.7</v>
      </c>
      <c r="G141" s="3">
        <v>3112</v>
      </c>
      <c r="H141" s="3">
        <v>3109.95</v>
      </c>
      <c r="I141" s="3">
        <v>3130.27</v>
      </c>
      <c r="J141" s="3">
        <v>3350</v>
      </c>
      <c r="K141" s="3">
        <v>1573</v>
      </c>
      <c r="L141" s="1" t="s">
        <v>853</v>
      </c>
      <c r="M141" s="1" t="s">
        <v>854</v>
      </c>
      <c r="N141" s="4">
        <v>66405</v>
      </c>
      <c r="O141" s="7">
        <f t="shared" si="8"/>
        <v>7.2400810889081957E-2</v>
      </c>
      <c r="P141" s="8">
        <f t="shared" si="9"/>
        <v>82.849999999999909</v>
      </c>
      <c r="Q141" s="7">
        <f t="shared" si="10"/>
        <v>14.111934342293502</v>
      </c>
      <c r="R141" s="7">
        <f t="shared" si="11"/>
        <v>-7.1656716417910511</v>
      </c>
    </row>
    <row r="142" spans="1:18" customFormat="1" ht="14.4" customHeight="1">
      <c r="A142" s="2">
        <v>45378</v>
      </c>
      <c r="B142" s="1" t="s">
        <v>14</v>
      </c>
      <c r="C142" s="3">
        <v>3115</v>
      </c>
      <c r="D142" s="3">
        <v>3138.45</v>
      </c>
      <c r="E142" s="3">
        <v>3106.25</v>
      </c>
      <c r="F142" s="3">
        <v>3109.95</v>
      </c>
      <c r="G142" s="3">
        <v>3124.25</v>
      </c>
      <c r="H142" s="3">
        <v>3122.1</v>
      </c>
      <c r="I142" s="3">
        <v>3122.82</v>
      </c>
      <c r="J142" s="3">
        <v>3350</v>
      </c>
      <c r="K142" s="3">
        <v>1573</v>
      </c>
      <c r="L142" s="1" t="s">
        <v>851</v>
      </c>
      <c r="M142" s="1" t="s">
        <v>852</v>
      </c>
      <c r="N142" s="4">
        <v>66957</v>
      </c>
      <c r="O142" s="7">
        <f t="shared" si="8"/>
        <v>0.39068152221097102</v>
      </c>
      <c r="P142" s="8">
        <f t="shared" si="9"/>
        <v>32.199999999999818</v>
      </c>
      <c r="Q142" s="7">
        <f t="shared" si="10"/>
        <v>13.444912406469824</v>
      </c>
      <c r="R142" s="7">
        <f t="shared" si="11"/>
        <v>-6.8029850746268687</v>
      </c>
    </row>
    <row r="143" spans="1:18" customFormat="1" ht="14.4" customHeight="1">
      <c r="A143" s="2">
        <v>45379</v>
      </c>
      <c r="B143" s="1" t="s">
        <v>14</v>
      </c>
      <c r="C143" s="3">
        <v>3134</v>
      </c>
      <c r="D143" s="3">
        <v>3237</v>
      </c>
      <c r="E143" s="3">
        <v>3096.75</v>
      </c>
      <c r="F143" s="3">
        <v>3122.1</v>
      </c>
      <c r="G143" s="3">
        <v>3197</v>
      </c>
      <c r="H143" s="3">
        <v>3197.1</v>
      </c>
      <c r="I143" s="3">
        <v>3178.72</v>
      </c>
      <c r="J143" s="3">
        <v>3350</v>
      </c>
      <c r="K143" s="3">
        <v>1573</v>
      </c>
      <c r="L143" s="1" t="s">
        <v>848</v>
      </c>
      <c r="M143" s="1" t="s">
        <v>849</v>
      </c>
      <c r="N143" s="1" t="s">
        <v>850</v>
      </c>
      <c r="O143" s="7">
        <f t="shared" si="8"/>
        <v>2.4022292687614106</v>
      </c>
      <c r="P143" s="8">
        <f t="shared" si="9"/>
        <v>140.25</v>
      </c>
      <c r="Q143" s="7">
        <f t="shared" si="10"/>
        <v>16.444906929741496</v>
      </c>
      <c r="R143" s="7">
        <f t="shared" si="11"/>
        <v>-4.5641791044776152</v>
      </c>
    </row>
    <row r="144" spans="1:18" customFormat="1" ht="14.4" customHeight="1">
      <c r="A144" s="2">
        <v>45383</v>
      </c>
      <c r="B144" s="1" t="s">
        <v>14</v>
      </c>
      <c r="C144" s="3">
        <v>3230.2</v>
      </c>
      <c r="D144" s="3">
        <v>3291.8</v>
      </c>
      <c r="E144" s="3">
        <v>3207.85</v>
      </c>
      <c r="F144" s="3">
        <v>3197.1</v>
      </c>
      <c r="G144" s="3">
        <v>3255.2</v>
      </c>
      <c r="H144" s="3">
        <v>3252.1</v>
      </c>
      <c r="I144" s="3">
        <v>3247.41</v>
      </c>
      <c r="J144" s="3">
        <v>3350</v>
      </c>
      <c r="K144" s="3">
        <v>1671.55</v>
      </c>
      <c r="L144" s="1" t="s">
        <v>846</v>
      </c>
      <c r="M144" s="1" t="s">
        <v>847</v>
      </c>
      <c r="N144" s="4">
        <v>71000</v>
      </c>
      <c r="O144" s="7">
        <f t="shared" si="8"/>
        <v>1.7203090300584905</v>
      </c>
      <c r="P144" s="8">
        <f t="shared" si="9"/>
        <v>83.950000000000273</v>
      </c>
      <c r="Q144" s="7">
        <f t="shared" si="10"/>
        <v>18.206281690140845</v>
      </c>
      <c r="R144" s="7">
        <f t="shared" si="11"/>
        <v>-2.9223880597014951</v>
      </c>
    </row>
    <row r="145" spans="1:18" customFormat="1" ht="14.4" customHeight="1">
      <c r="A145" s="2">
        <v>45384</v>
      </c>
      <c r="B145" s="1" t="s">
        <v>14</v>
      </c>
      <c r="C145" s="3">
        <v>3258.95</v>
      </c>
      <c r="D145" s="3">
        <v>3285</v>
      </c>
      <c r="E145" s="3">
        <v>3240</v>
      </c>
      <c r="F145" s="3">
        <v>3252.1</v>
      </c>
      <c r="G145" s="3">
        <v>3267.35</v>
      </c>
      <c r="H145" s="3">
        <v>3268.75</v>
      </c>
      <c r="I145" s="3">
        <v>3259.76</v>
      </c>
      <c r="J145" s="3">
        <v>3350</v>
      </c>
      <c r="K145" s="3">
        <v>1671.55</v>
      </c>
      <c r="L145" s="1" t="s">
        <v>844</v>
      </c>
      <c r="M145" s="1" t="s">
        <v>845</v>
      </c>
      <c r="N145" s="4">
        <v>55071</v>
      </c>
      <c r="O145" s="7">
        <f t="shared" si="8"/>
        <v>0.51197687647981582</v>
      </c>
      <c r="P145" s="8">
        <f t="shared" si="9"/>
        <v>45</v>
      </c>
      <c r="Q145" s="7">
        <f t="shared" si="10"/>
        <v>15.776524849739427</v>
      </c>
      <c r="R145" s="7">
        <f t="shared" si="11"/>
        <v>-2.4253731343283582</v>
      </c>
    </row>
    <row r="146" spans="1:18" customFormat="1" ht="14.4" customHeight="1">
      <c r="A146" s="2">
        <v>45385</v>
      </c>
      <c r="B146" s="1" t="s">
        <v>14</v>
      </c>
      <c r="C146" s="3">
        <v>3250</v>
      </c>
      <c r="D146" s="3">
        <v>3260.15</v>
      </c>
      <c r="E146" s="3">
        <v>3222</v>
      </c>
      <c r="F146" s="3">
        <v>3268.75</v>
      </c>
      <c r="G146" s="3">
        <v>3238</v>
      </c>
      <c r="H146" s="3">
        <v>3233.45</v>
      </c>
      <c r="I146" s="3">
        <v>3238.76</v>
      </c>
      <c r="J146" s="3">
        <v>3350</v>
      </c>
      <c r="K146" s="3">
        <v>1671.55</v>
      </c>
      <c r="L146" s="1" t="s">
        <v>842</v>
      </c>
      <c r="M146" s="1" t="s">
        <v>843</v>
      </c>
      <c r="N146" s="4">
        <v>55622</v>
      </c>
      <c r="O146" s="7">
        <f t="shared" si="8"/>
        <v>-1.0799235181644415</v>
      </c>
      <c r="P146" s="8">
        <f t="shared" si="9"/>
        <v>38.150000000000091</v>
      </c>
      <c r="Q146" s="7">
        <f t="shared" si="10"/>
        <v>20.731167523641723</v>
      </c>
      <c r="R146" s="7">
        <f t="shared" si="11"/>
        <v>-3.479104477611946</v>
      </c>
    </row>
    <row r="147" spans="1:18" customFormat="1" ht="14.4" customHeight="1">
      <c r="A147" s="2">
        <v>45386</v>
      </c>
      <c r="B147" s="1" t="s">
        <v>14</v>
      </c>
      <c r="C147" s="3">
        <v>3250</v>
      </c>
      <c r="D147" s="3">
        <v>3273</v>
      </c>
      <c r="E147" s="3">
        <v>3201.7</v>
      </c>
      <c r="F147" s="3">
        <v>3233.45</v>
      </c>
      <c r="G147" s="3">
        <v>3220</v>
      </c>
      <c r="H147" s="3">
        <v>3210.8</v>
      </c>
      <c r="I147" s="3">
        <v>3234.57</v>
      </c>
      <c r="J147" s="3">
        <v>3350</v>
      </c>
      <c r="K147" s="3">
        <v>1671.55</v>
      </c>
      <c r="L147" s="1" t="s">
        <v>840</v>
      </c>
      <c r="M147" s="1" t="s">
        <v>841</v>
      </c>
      <c r="N147" s="4">
        <v>99323</v>
      </c>
      <c r="O147" s="7">
        <f t="shared" si="8"/>
        <v>-0.70049018849834188</v>
      </c>
      <c r="P147" s="8">
        <f t="shared" si="9"/>
        <v>71.300000000000182</v>
      </c>
      <c r="Q147" s="7">
        <f t="shared" si="10"/>
        <v>14.133946819971205</v>
      </c>
      <c r="R147" s="7">
        <f t="shared" si="11"/>
        <v>-4.1552238805970099</v>
      </c>
    </row>
    <row r="148" spans="1:18" customFormat="1" ht="14.4" customHeight="1">
      <c r="A148" s="2">
        <v>45387</v>
      </c>
      <c r="B148" s="1" t="s">
        <v>14</v>
      </c>
      <c r="C148" s="3">
        <v>3211.1</v>
      </c>
      <c r="D148" s="3">
        <v>3234</v>
      </c>
      <c r="E148" s="3">
        <v>3178.95</v>
      </c>
      <c r="F148" s="3">
        <v>3210.8</v>
      </c>
      <c r="G148" s="3">
        <v>3217.9</v>
      </c>
      <c r="H148" s="3">
        <v>3224.8</v>
      </c>
      <c r="I148" s="3">
        <v>3215.34</v>
      </c>
      <c r="J148" s="3">
        <v>3350</v>
      </c>
      <c r="K148" s="3">
        <v>1671.55</v>
      </c>
      <c r="L148" s="1" t="s">
        <v>838</v>
      </c>
      <c r="M148" s="1" t="s">
        <v>839</v>
      </c>
      <c r="N148" s="4">
        <v>37497</v>
      </c>
      <c r="O148" s="7">
        <f t="shared" si="8"/>
        <v>0.43602840413604083</v>
      </c>
      <c r="P148" s="8">
        <f t="shared" si="9"/>
        <v>55.050000000000182</v>
      </c>
      <c r="Q148" s="7">
        <f t="shared" si="10"/>
        <v>20.151132090567245</v>
      </c>
      <c r="R148" s="7">
        <f t="shared" si="11"/>
        <v>-3.7373134328358155</v>
      </c>
    </row>
    <row r="149" spans="1:18" customFormat="1" ht="14.4" customHeight="1">
      <c r="A149" s="2">
        <v>45390</v>
      </c>
      <c r="B149" s="1" t="s">
        <v>14</v>
      </c>
      <c r="C149" s="3">
        <v>3240.95</v>
      </c>
      <c r="D149" s="3">
        <v>3243.5</v>
      </c>
      <c r="E149" s="3">
        <v>3197.2</v>
      </c>
      <c r="F149" s="3">
        <v>3224.8</v>
      </c>
      <c r="G149" s="3">
        <v>3236</v>
      </c>
      <c r="H149" s="3">
        <v>3224.55</v>
      </c>
      <c r="I149" s="3">
        <v>3216.9</v>
      </c>
      <c r="J149" s="3">
        <v>3350</v>
      </c>
      <c r="K149" s="3">
        <v>1760.6</v>
      </c>
      <c r="L149" s="1" t="s">
        <v>836</v>
      </c>
      <c r="M149" s="1" t="s">
        <v>837</v>
      </c>
      <c r="N149" s="4">
        <v>37073</v>
      </c>
      <c r="O149" s="7">
        <f t="shared" si="8"/>
        <v>-7.7524187546514503E-3</v>
      </c>
      <c r="P149" s="8">
        <f t="shared" si="9"/>
        <v>46.300000000000182</v>
      </c>
      <c r="Q149" s="7">
        <f t="shared" si="10"/>
        <v>15.575755940981308</v>
      </c>
      <c r="R149" s="7">
        <f t="shared" si="11"/>
        <v>-3.7447761194029794</v>
      </c>
    </row>
    <row r="150" spans="1:18" customFormat="1" ht="14.4" customHeight="1">
      <c r="A150" s="2">
        <v>45391</v>
      </c>
      <c r="B150" s="1" t="s">
        <v>14</v>
      </c>
      <c r="C150" s="3">
        <v>3240.7</v>
      </c>
      <c r="D150" s="3">
        <v>3251</v>
      </c>
      <c r="E150" s="3">
        <v>3185</v>
      </c>
      <c r="F150" s="3">
        <v>3224.55</v>
      </c>
      <c r="G150" s="3">
        <v>3202.6</v>
      </c>
      <c r="H150" s="3">
        <v>3198.45</v>
      </c>
      <c r="I150" s="3">
        <v>3214.28</v>
      </c>
      <c r="J150" s="3">
        <v>3350</v>
      </c>
      <c r="K150" s="3">
        <v>1760.6</v>
      </c>
      <c r="L150" s="1" t="s">
        <v>96</v>
      </c>
      <c r="M150" s="1" t="s">
        <v>835</v>
      </c>
      <c r="N150" s="4">
        <v>38430</v>
      </c>
      <c r="O150" s="7">
        <f t="shared" si="8"/>
        <v>-0.80941526724660384</v>
      </c>
      <c r="P150" s="8">
        <f t="shared" si="9"/>
        <v>66</v>
      </c>
      <c r="Q150" s="7">
        <f t="shared" si="10"/>
        <v>21.693442622950819</v>
      </c>
      <c r="R150" s="7">
        <f t="shared" si="11"/>
        <v>-4.5238805970149309</v>
      </c>
    </row>
    <row r="151" spans="1:18" customFormat="1" ht="14.4" customHeight="1">
      <c r="A151" s="2">
        <v>45392</v>
      </c>
      <c r="B151" s="1" t="s">
        <v>14</v>
      </c>
      <c r="C151" s="3">
        <v>3200</v>
      </c>
      <c r="D151" s="3">
        <v>3254.6</v>
      </c>
      <c r="E151" s="3">
        <v>3192.5</v>
      </c>
      <c r="F151" s="3">
        <v>3198.45</v>
      </c>
      <c r="G151" s="3">
        <v>3245</v>
      </c>
      <c r="H151" s="3">
        <v>3242</v>
      </c>
      <c r="I151" s="3">
        <v>3231.43</v>
      </c>
      <c r="J151" s="3">
        <v>3350</v>
      </c>
      <c r="K151" s="3">
        <v>1760.6</v>
      </c>
      <c r="L151" s="1" t="s">
        <v>833</v>
      </c>
      <c r="M151" s="1" t="s">
        <v>834</v>
      </c>
      <c r="N151" s="4">
        <v>55670</v>
      </c>
      <c r="O151" s="7">
        <f t="shared" si="8"/>
        <v>1.3615970235582917</v>
      </c>
      <c r="P151" s="8">
        <f t="shared" si="9"/>
        <v>62.099999999999909</v>
      </c>
      <c r="Q151" s="7">
        <f t="shared" si="10"/>
        <v>25.887156457697145</v>
      </c>
      <c r="R151" s="7">
        <f t="shared" si="11"/>
        <v>-3.2238805970149254</v>
      </c>
    </row>
    <row r="152" spans="1:18" customFormat="1" ht="14.4" customHeight="1">
      <c r="A152" s="2">
        <v>45394</v>
      </c>
      <c r="B152" s="1" t="s">
        <v>14</v>
      </c>
      <c r="C152" s="3">
        <v>3210</v>
      </c>
      <c r="D152" s="3">
        <v>3247.5</v>
      </c>
      <c r="E152" s="3">
        <v>3205.3</v>
      </c>
      <c r="F152" s="3">
        <v>3242</v>
      </c>
      <c r="G152" s="3">
        <v>3215</v>
      </c>
      <c r="H152" s="3">
        <v>3209.9</v>
      </c>
      <c r="I152" s="3">
        <v>3221.01</v>
      </c>
      <c r="J152" s="3">
        <v>3350</v>
      </c>
      <c r="K152" s="3">
        <v>1760.6</v>
      </c>
      <c r="L152" s="1" t="s">
        <v>831</v>
      </c>
      <c r="M152" s="1" t="s">
        <v>832</v>
      </c>
      <c r="N152" s="4">
        <v>40387</v>
      </c>
      <c r="O152" s="7">
        <f t="shared" si="8"/>
        <v>-0.99012954966070044</v>
      </c>
      <c r="P152" s="8">
        <f t="shared" si="9"/>
        <v>42.199999999999818</v>
      </c>
      <c r="Q152" s="7">
        <f t="shared" si="10"/>
        <v>17.460395671874615</v>
      </c>
      <c r="R152" s="7">
        <f t="shared" si="11"/>
        <v>-4.1820895522388035</v>
      </c>
    </row>
    <row r="153" spans="1:18" customFormat="1" ht="14.4" customHeight="1">
      <c r="A153" s="2">
        <v>45397</v>
      </c>
      <c r="B153" s="1" t="s">
        <v>14</v>
      </c>
      <c r="C153" s="3">
        <v>3150</v>
      </c>
      <c r="D153" s="3">
        <v>3180.3</v>
      </c>
      <c r="E153" s="3">
        <v>3103.2</v>
      </c>
      <c r="F153" s="3">
        <v>3209.9</v>
      </c>
      <c r="G153" s="3">
        <v>3149.95</v>
      </c>
      <c r="H153" s="3">
        <v>3147.45</v>
      </c>
      <c r="I153" s="3">
        <v>3143.46</v>
      </c>
      <c r="J153" s="3">
        <v>3350</v>
      </c>
      <c r="K153" s="3">
        <v>1775.8</v>
      </c>
      <c r="L153" s="1" t="s">
        <v>829</v>
      </c>
      <c r="M153" s="1" t="s">
        <v>830</v>
      </c>
      <c r="N153" s="4">
        <v>73457</v>
      </c>
      <c r="O153" s="7">
        <f t="shared" si="8"/>
        <v>-1.9455434748746152</v>
      </c>
      <c r="P153" s="8">
        <f t="shared" si="9"/>
        <v>77.100000000000364</v>
      </c>
      <c r="Q153" s="7">
        <f t="shared" si="10"/>
        <v>14.095021577249275</v>
      </c>
      <c r="R153" s="7">
        <f t="shared" si="11"/>
        <v>-6.046268656716423</v>
      </c>
    </row>
    <row r="154" spans="1:18" customFormat="1" ht="14.4" customHeight="1">
      <c r="A154" s="2">
        <v>45398</v>
      </c>
      <c r="B154" s="1" t="s">
        <v>14</v>
      </c>
      <c r="C154" s="3">
        <v>3101</v>
      </c>
      <c r="D154" s="3">
        <v>3149.2</v>
      </c>
      <c r="E154" s="3">
        <v>3100</v>
      </c>
      <c r="F154" s="3">
        <v>3147.45</v>
      </c>
      <c r="G154" s="3">
        <v>3108</v>
      </c>
      <c r="H154" s="3">
        <v>3106.4</v>
      </c>
      <c r="I154" s="3">
        <v>3119.45</v>
      </c>
      <c r="J154" s="3">
        <v>3350</v>
      </c>
      <c r="K154" s="3">
        <v>1775.8</v>
      </c>
      <c r="L154" s="1" t="s">
        <v>827</v>
      </c>
      <c r="M154" s="1" t="s">
        <v>828</v>
      </c>
      <c r="N154" s="4">
        <v>48602</v>
      </c>
      <c r="O154" s="7">
        <f t="shared" si="8"/>
        <v>-1.3042304087435774</v>
      </c>
      <c r="P154" s="8">
        <f t="shared" si="9"/>
        <v>49.199999999999818</v>
      </c>
      <c r="Q154" s="7">
        <f t="shared" si="10"/>
        <v>23.33615900580223</v>
      </c>
      <c r="R154" s="7">
        <f t="shared" si="11"/>
        <v>-7.2716417910447735</v>
      </c>
    </row>
    <row r="155" spans="1:18" customFormat="1" ht="14.4" customHeight="1">
      <c r="A155" s="2">
        <v>45400</v>
      </c>
      <c r="B155" s="1" t="s">
        <v>14</v>
      </c>
      <c r="C155" s="3">
        <v>3125.15</v>
      </c>
      <c r="D155" s="3">
        <v>3145</v>
      </c>
      <c r="E155" s="3">
        <v>3008.3</v>
      </c>
      <c r="F155" s="3">
        <v>3106.4</v>
      </c>
      <c r="G155" s="3">
        <v>3035</v>
      </c>
      <c r="H155" s="3">
        <v>3019.3</v>
      </c>
      <c r="I155" s="3">
        <v>3095.25</v>
      </c>
      <c r="J155" s="3">
        <v>3350</v>
      </c>
      <c r="K155" s="3">
        <v>1775.8</v>
      </c>
      <c r="L155" s="1" t="s">
        <v>824</v>
      </c>
      <c r="M155" s="1" t="s">
        <v>825</v>
      </c>
      <c r="N155" s="1" t="s">
        <v>826</v>
      </c>
      <c r="O155" s="7">
        <f t="shared" si="8"/>
        <v>-2.8038887458150885</v>
      </c>
      <c r="P155" s="8">
        <f t="shared" si="9"/>
        <v>136.69999999999982</v>
      </c>
      <c r="Q155" s="7">
        <f t="shared" si="10"/>
        <v>15.94875491480996</v>
      </c>
      <c r="R155" s="7">
        <f t="shared" si="11"/>
        <v>-9.8716417910447696</v>
      </c>
    </row>
    <row r="156" spans="1:18" customFormat="1" ht="14.4" customHeight="1">
      <c r="A156" s="2">
        <v>45401</v>
      </c>
      <c r="B156" s="1" t="s">
        <v>14</v>
      </c>
      <c r="C156" s="3">
        <v>3000</v>
      </c>
      <c r="D156" s="3">
        <v>3057.05</v>
      </c>
      <c r="E156" s="3">
        <v>2962.5</v>
      </c>
      <c r="F156" s="3">
        <v>3019.3</v>
      </c>
      <c r="G156" s="3">
        <v>3032</v>
      </c>
      <c r="H156" s="3">
        <v>3026.95</v>
      </c>
      <c r="I156" s="3">
        <v>3020.56</v>
      </c>
      <c r="J156" s="3">
        <v>3350</v>
      </c>
      <c r="K156" s="3">
        <v>1775.8</v>
      </c>
      <c r="L156" s="1" t="s">
        <v>822</v>
      </c>
      <c r="M156" s="1" t="s">
        <v>823</v>
      </c>
      <c r="N156" s="4">
        <v>91721</v>
      </c>
      <c r="O156" s="7">
        <f t="shared" si="8"/>
        <v>0.25336998642068148</v>
      </c>
      <c r="P156" s="8">
        <f t="shared" si="9"/>
        <v>94.550000000000182</v>
      </c>
      <c r="Q156" s="7">
        <f t="shared" si="10"/>
        <v>18.832295766509304</v>
      </c>
      <c r="R156" s="7">
        <f t="shared" si="11"/>
        <v>-9.643283582089559</v>
      </c>
    </row>
    <row r="157" spans="1:18" customFormat="1" ht="14.4" customHeight="1">
      <c r="A157" s="2">
        <v>45404</v>
      </c>
      <c r="B157" s="1" t="s">
        <v>14</v>
      </c>
      <c r="C157" s="3">
        <v>3053</v>
      </c>
      <c r="D157" s="3">
        <v>3077.5</v>
      </c>
      <c r="E157" s="3">
        <v>3025</v>
      </c>
      <c r="F157" s="3">
        <v>3026.95</v>
      </c>
      <c r="G157" s="3">
        <v>3072.25</v>
      </c>
      <c r="H157" s="3">
        <v>3063.35</v>
      </c>
      <c r="I157" s="3">
        <v>3050.24</v>
      </c>
      <c r="J157" s="3">
        <v>3350</v>
      </c>
      <c r="K157" s="3">
        <v>1775.8</v>
      </c>
      <c r="L157" s="1" t="s">
        <v>820</v>
      </c>
      <c r="M157" s="1" t="s">
        <v>821</v>
      </c>
      <c r="N157" s="4">
        <v>51253</v>
      </c>
      <c r="O157" s="7">
        <f t="shared" si="8"/>
        <v>1.2025306001090237</v>
      </c>
      <c r="P157" s="8">
        <f t="shared" si="9"/>
        <v>52.5</v>
      </c>
      <c r="Q157" s="7">
        <f t="shared" si="10"/>
        <v>19.392601408698027</v>
      </c>
      <c r="R157" s="7">
        <f t="shared" si="11"/>
        <v>-8.5567164179104509</v>
      </c>
    </row>
    <row r="158" spans="1:18" customFormat="1" ht="14.4" customHeight="1">
      <c r="A158" s="2">
        <v>45405</v>
      </c>
      <c r="B158" s="1" t="s">
        <v>14</v>
      </c>
      <c r="C158" s="3">
        <v>3059</v>
      </c>
      <c r="D158" s="3">
        <v>3091</v>
      </c>
      <c r="E158" s="3">
        <v>3043.1</v>
      </c>
      <c r="F158" s="3">
        <v>3063.35</v>
      </c>
      <c r="G158" s="3">
        <v>3058</v>
      </c>
      <c r="H158" s="3">
        <v>3065.1</v>
      </c>
      <c r="I158" s="3">
        <v>3066.74</v>
      </c>
      <c r="J158" s="3">
        <v>3350</v>
      </c>
      <c r="K158" s="3">
        <v>1775.8</v>
      </c>
      <c r="L158" s="1" t="s">
        <v>818</v>
      </c>
      <c r="M158" s="1" t="s">
        <v>819</v>
      </c>
      <c r="N158" s="4">
        <v>61219</v>
      </c>
      <c r="O158" s="7">
        <f t="shared" si="8"/>
        <v>5.7127001485302045E-2</v>
      </c>
      <c r="P158" s="8">
        <f t="shared" si="9"/>
        <v>47.900000000000091</v>
      </c>
      <c r="Q158" s="7">
        <f t="shared" si="10"/>
        <v>27.022198990509484</v>
      </c>
      <c r="R158" s="7">
        <f t="shared" si="11"/>
        <v>-8.5044776119403025</v>
      </c>
    </row>
    <row r="159" spans="1:18" customFormat="1" ht="14.4" customHeight="1">
      <c r="A159" s="2">
        <v>45406</v>
      </c>
      <c r="B159" s="1" t="s">
        <v>14</v>
      </c>
      <c r="C159" s="3">
        <v>3071.95</v>
      </c>
      <c r="D159" s="3">
        <v>3087.85</v>
      </c>
      <c r="E159" s="3">
        <v>3040</v>
      </c>
      <c r="F159" s="3">
        <v>3065.1</v>
      </c>
      <c r="G159" s="3">
        <v>3042.9</v>
      </c>
      <c r="H159" s="3">
        <v>3043.55</v>
      </c>
      <c r="I159" s="3">
        <v>3066.42</v>
      </c>
      <c r="J159" s="3">
        <v>3350</v>
      </c>
      <c r="K159" s="3">
        <v>1775.8</v>
      </c>
      <c r="L159" s="1" t="s">
        <v>816</v>
      </c>
      <c r="M159" s="1" t="s">
        <v>817</v>
      </c>
      <c r="N159" s="4">
        <v>36665</v>
      </c>
      <c r="O159" s="7">
        <f t="shared" si="8"/>
        <v>-0.70307657172685156</v>
      </c>
      <c r="P159" s="8">
        <f t="shared" si="9"/>
        <v>47.849999999999909</v>
      </c>
      <c r="Q159" s="7">
        <f t="shared" si="10"/>
        <v>16.525760261830083</v>
      </c>
      <c r="R159" s="7">
        <f t="shared" si="11"/>
        <v>-9.1477611940298456</v>
      </c>
    </row>
    <row r="160" spans="1:18" customFormat="1" ht="14.4" customHeight="1">
      <c r="A160" s="2">
        <v>45407</v>
      </c>
      <c r="B160" s="1" t="s">
        <v>14</v>
      </c>
      <c r="C160" s="3">
        <v>3050</v>
      </c>
      <c r="D160" s="3">
        <v>3120.9</v>
      </c>
      <c r="E160" s="3">
        <v>3025.65</v>
      </c>
      <c r="F160" s="3">
        <v>3043.55</v>
      </c>
      <c r="G160" s="3">
        <v>3115</v>
      </c>
      <c r="H160" s="3">
        <v>3115.25</v>
      </c>
      <c r="I160" s="3">
        <v>3078.5</v>
      </c>
      <c r="J160" s="3">
        <v>3350</v>
      </c>
      <c r="K160" s="3">
        <v>1775.8</v>
      </c>
      <c r="L160" s="1" t="s">
        <v>813</v>
      </c>
      <c r="M160" s="1" t="s">
        <v>814</v>
      </c>
      <c r="N160" s="1" t="s">
        <v>815</v>
      </c>
      <c r="O160" s="7">
        <f t="shared" si="8"/>
        <v>2.3558016132476816</v>
      </c>
      <c r="P160" s="8">
        <f t="shared" si="9"/>
        <v>95.25</v>
      </c>
      <c r="Q160" s="7">
        <f t="shared" si="10"/>
        <v>14.59597233993374</v>
      </c>
      <c r="R160" s="7">
        <f t="shared" si="11"/>
        <v>-7.0074626865671643</v>
      </c>
    </row>
    <row r="161" spans="1:18" customFormat="1" ht="14.4" customHeight="1">
      <c r="A161" s="2">
        <v>45408</v>
      </c>
      <c r="B161" s="1" t="s">
        <v>14</v>
      </c>
      <c r="C161" s="3">
        <v>3119.9</v>
      </c>
      <c r="D161" s="3">
        <v>3129.9</v>
      </c>
      <c r="E161" s="3">
        <v>3066.05</v>
      </c>
      <c r="F161" s="3">
        <v>3115.25</v>
      </c>
      <c r="G161" s="3">
        <v>3089</v>
      </c>
      <c r="H161" s="3">
        <v>3080.4</v>
      </c>
      <c r="I161" s="3">
        <v>3090.2</v>
      </c>
      <c r="J161" s="3">
        <v>3350</v>
      </c>
      <c r="K161" s="3">
        <v>1775.8</v>
      </c>
      <c r="L161" s="1" t="s">
        <v>811</v>
      </c>
      <c r="M161" s="1" t="s">
        <v>812</v>
      </c>
      <c r="N161" s="4">
        <v>51695</v>
      </c>
      <c r="O161" s="7">
        <f t="shared" si="8"/>
        <v>-1.1186903137789874</v>
      </c>
      <c r="P161" s="8">
        <f t="shared" si="9"/>
        <v>63.849999999999909</v>
      </c>
      <c r="Q161" s="7">
        <f t="shared" si="10"/>
        <v>12.820659638262889</v>
      </c>
      <c r="R161" s="7">
        <f t="shared" si="11"/>
        <v>-8.0477611940298477</v>
      </c>
    </row>
    <row r="162" spans="1:18" customFormat="1" ht="14.4" customHeight="1">
      <c r="A162" s="2">
        <v>45411</v>
      </c>
      <c r="B162" s="1" t="s">
        <v>14</v>
      </c>
      <c r="C162" s="3">
        <v>3110</v>
      </c>
      <c r="D162" s="3">
        <v>3110.5</v>
      </c>
      <c r="E162" s="3">
        <v>3051.5</v>
      </c>
      <c r="F162" s="3">
        <v>3080.4</v>
      </c>
      <c r="G162" s="3">
        <v>3080</v>
      </c>
      <c r="H162" s="3">
        <v>3081.2</v>
      </c>
      <c r="I162" s="3">
        <v>3079</v>
      </c>
      <c r="J162" s="3">
        <v>3350</v>
      </c>
      <c r="K162" s="3">
        <v>1785.35</v>
      </c>
      <c r="L162" s="1" t="s">
        <v>809</v>
      </c>
      <c r="M162" s="1" t="s">
        <v>810</v>
      </c>
      <c r="N162" s="4">
        <v>51392</v>
      </c>
      <c r="O162" s="7">
        <f t="shared" si="8"/>
        <v>2.5970653161918163E-2</v>
      </c>
      <c r="P162" s="8">
        <f t="shared" si="9"/>
        <v>59</v>
      </c>
      <c r="Q162" s="7">
        <f t="shared" si="10"/>
        <v>12.619551681195517</v>
      </c>
      <c r="R162" s="7">
        <f t="shared" si="11"/>
        <v>-8.0238805970149301</v>
      </c>
    </row>
    <row r="163" spans="1:18" customFormat="1" ht="14.4" customHeight="1">
      <c r="A163" s="2">
        <v>45412</v>
      </c>
      <c r="B163" s="1" t="s">
        <v>14</v>
      </c>
      <c r="C163" s="3">
        <v>3094</v>
      </c>
      <c r="D163" s="3">
        <v>3108.45</v>
      </c>
      <c r="E163" s="3">
        <v>3045</v>
      </c>
      <c r="F163" s="3">
        <v>3081.2</v>
      </c>
      <c r="G163" s="3">
        <v>3052.5</v>
      </c>
      <c r="H163" s="3">
        <v>3054.7</v>
      </c>
      <c r="I163" s="3">
        <v>3074.15</v>
      </c>
      <c r="J163" s="3">
        <v>3350</v>
      </c>
      <c r="K163" s="3">
        <v>1785.35</v>
      </c>
      <c r="L163" s="1" t="s">
        <v>807</v>
      </c>
      <c r="M163" s="1" t="s">
        <v>808</v>
      </c>
      <c r="N163" s="4">
        <v>50263</v>
      </c>
      <c r="O163" s="7">
        <f t="shared" si="8"/>
        <v>-0.86005452421134621</v>
      </c>
      <c r="P163" s="8">
        <f t="shared" si="9"/>
        <v>63.449999999999818</v>
      </c>
      <c r="Q163" s="7">
        <f t="shared" si="10"/>
        <v>16.00684400055707</v>
      </c>
      <c r="R163" s="7">
        <f t="shared" si="11"/>
        <v>-8.8149253731343347</v>
      </c>
    </row>
    <row r="164" spans="1:18" customFormat="1" ht="14.4" customHeight="1">
      <c r="A164" s="2">
        <v>45414</v>
      </c>
      <c r="B164" s="1" t="s">
        <v>14</v>
      </c>
      <c r="C164" s="3">
        <v>3071.95</v>
      </c>
      <c r="D164" s="3">
        <v>3119.85</v>
      </c>
      <c r="E164" s="3">
        <v>3015.05</v>
      </c>
      <c r="F164" s="3">
        <v>3054.7</v>
      </c>
      <c r="G164" s="3">
        <v>3029</v>
      </c>
      <c r="H164" s="3">
        <v>3039.6</v>
      </c>
      <c r="I164" s="3">
        <v>3065.29</v>
      </c>
      <c r="J164" s="3">
        <v>3350</v>
      </c>
      <c r="K164" s="3">
        <v>1785.35</v>
      </c>
      <c r="L164" s="1" t="s">
        <v>804</v>
      </c>
      <c r="M164" s="1" t="s">
        <v>805</v>
      </c>
      <c r="N164" s="1" t="s">
        <v>806</v>
      </c>
      <c r="O164" s="7">
        <f t="shared" si="8"/>
        <v>-0.49432022784561203</v>
      </c>
      <c r="P164" s="8">
        <f t="shared" si="9"/>
        <v>104.79999999999973</v>
      </c>
      <c r="Q164" s="7">
        <f t="shared" si="10"/>
        <v>13.103929847353037</v>
      </c>
      <c r="R164" s="7">
        <f t="shared" si="11"/>
        <v>-9.2656716417910463</v>
      </c>
    </row>
    <row r="165" spans="1:18" customFormat="1" ht="14.4" customHeight="1">
      <c r="A165" s="2">
        <v>45415</v>
      </c>
      <c r="B165" s="1" t="s">
        <v>14</v>
      </c>
      <c r="C165" s="3">
        <v>3030</v>
      </c>
      <c r="D165" s="3">
        <v>3045</v>
      </c>
      <c r="E165" s="3">
        <v>2975.1</v>
      </c>
      <c r="F165" s="3">
        <v>3039.6</v>
      </c>
      <c r="G165" s="3">
        <v>2990</v>
      </c>
      <c r="H165" s="3">
        <v>2993.25</v>
      </c>
      <c r="I165" s="3">
        <v>3007.11</v>
      </c>
      <c r="J165" s="3">
        <v>3350</v>
      </c>
      <c r="K165" s="3">
        <v>1785.35</v>
      </c>
      <c r="L165" s="1" t="s">
        <v>802</v>
      </c>
      <c r="M165" s="1" t="s">
        <v>803</v>
      </c>
      <c r="N165" s="4">
        <v>93663</v>
      </c>
      <c r="O165" s="7">
        <f t="shared" si="8"/>
        <v>-1.5248716936438975</v>
      </c>
      <c r="P165" s="8">
        <f t="shared" si="9"/>
        <v>69.900000000000091</v>
      </c>
      <c r="Q165" s="7">
        <f t="shared" si="10"/>
        <v>15.717711369484215</v>
      </c>
      <c r="R165" s="7">
        <f t="shared" si="11"/>
        <v>-10.649253731343283</v>
      </c>
    </row>
    <row r="166" spans="1:18" customFormat="1" ht="14.4" customHeight="1">
      <c r="A166" s="2">
        <v>45418</v>
      </c>
      <c r="B166" s="1" t="s">
        <v>14</v>
      </c>
      <c r="C166" s="3">
        <v>2993.25</v>
      </c>
      <c r="D166" s="3">
        <v>3000.2</v>
      </c>
      <c r="E166" s="3">
        <v>2850</v>
      </c>
      <c r="F166" s="3">
        <v>2993.25</v>
      </c>
      <c r="G166" s="3">
        <v>2872</v>
      </c>
      <c r="H166" s="3">
        <v>2874.65</v>
      </c>
      <c r="I166" s="3">
        <v>2890.39</v>
      </c>
      <c r="J166" s="3">
        <v>3350</v>
      </c>
      <c r="K166" s="3">
        <v>1857.75</v>
      </c>
      <c r="L166" s="1" t="s">
        <v>799</v>
      </c>
      <c r="M166" s="1" t="s">
        <v>800</v>
      </c>
      <c r="N166" s="1" t="s">
        <v>801</v>
      </c>
      <c r="O166" s="7">
        <f t="shared" si="8"/>
        <v>-3.962248392215816</v>
      </c>
      <c r="P166" s="8">
        <f t="shared" si="9"/>
        <v>150.19999999999982</v>
      </c>
      <c r="Q166" s="7">
        <f t="shared" si="10"/>
        <v>18.789955276008662</v>
      </c>
      <c r="R166" s="7">
        <f t="shared" si="11"/>
        <v>-14.189552238805966</v>
      </c>
    </row>
    <row r="167" spans="1:18" customFormat="1" ht="14.4" customHeight="1">
      <c r="A167" s="2">
        <v>45419</v>
      </c>
      <c r="B167" s="1" t="s">
        <v>14</v>
      </c>
      <c r="C167" s="3">
        <v>2889.95</v>
      </c>
      <c r="D167" s="3">
        <v>2905.35</v>
      </c>
      <c r="E167" s="3">
        <v>2822</v>
      </c>
      <c r="F167" s="3">
        <v>2874.65</v>
      </c>
      <c r="G167" s="3">
        <v>2839</v>
      </c>
      <c r="H167" s="3">
        <v>2835.95</v>
      </c>
      <c r="I167" s="3">
        <v>2857.91</v>
      </c>
      <c r="J167" s="3">
        <v>3350</v>
      </c>
      <c r="K167" s="3">
        <v>1857.75</v>
      </c>
      <c r="L167" s="1" t="s">
        <v>797</v>
      </c>
      <c r="M167" s="1" t="s">
        <v>798</v>
      </c>
      <c r="N167" s="4">
        <v>73865</v>
      </c>
      <c r="O167" s="7">
        <f t="shared" si="8"/>
        <v>-1.3462508479293227</v>
      </c>
      <c r="P167" s="8">
        <f t="shared" si="9"/>
        <v>83.349999999999909</v>
      </c>
      <c r="Q167" s="7">
        <f t="shared" si="10"/>
        <v>17.089433425844447</v>
      </c>
      <c r="R167" s="7">
        <f t="shared" si="11"/>
        <v>-15.344776119402988</v>
      </c>
    </row>
    <row r="168" spans="1:18" customFormat="1" ht="14.4" customHeight="1">
      <c r="A168" s="2">
        <v>45420</v>
      </c>
      <c r="B168" s="1" t="s">
        <v>14</v>
      </c>
      <c r="C168" s="3">
        <v>2850</v>
      </c>
      <c r="D168" s="3">
        <v>2890.9</v>
      </c>
      <c r="E168" s="3">
        <v>2820</v>
      </c>
      <c r="F168" s="3">
        <v>2835.95</v>
      </c>
      <c r="G168" s="3">
        <v>2862</v>
      </c>
      <c r="H168" s="3">
        <v>2860.55</v>
      </c>
      <c r="I168" s="3">
        <v>2860.65</v>
      </c>
      <c r="J168" s="3">
        <v>3350</v>
      </c>
      <c r="K168" s="3">
        <v>1857.75</v>
      </c>
      <c r="L168" s="1" t="s">
        <v>795</v>
      </c>
      <c r="M168" s="1" t="s">
        <v>796</v>
      </c>
      <c r="N168" s="4">
        <v>57225</v>
      </c>
      <c r="O168" s="7">
        <f t="shared" si="8"/>
        <v>0.86743419312753622</v>
      </c>
      <c r="P168" s="8">
        <f t="shared" si="9"/>
        <v>70.900000000000091</v>
      </c>
      <c r="Q168" s="7">
        <f t="shared" si="10"/>
        <v>16.625792922673657</v>
      </c>
      <c r="R168" s="7">
        <f t="shared" si="11"/>
        <v>-14.610447761194024</v>
      </c>
    </row>
    <row r="169" spans="1:18" customFormat="1" ht="14.4" customHeight="1">
      <c r="A169" s="2">
        <v>45421</v>
      </c>
      <c r="B169" s="1" t="s">
        <v>14</v>
      </c>
      <c r="C169" s="3">
        <v>2864.8</v>
      </c>
      <c r="D169" s="3">
        <v>2883.65</v>
      </c>
      <c r="E169" s="3">
        <v>2756</v>
      </c>
      <c r="F169" s="3">
        <v>2860.55</v>
      </c>
      <c r="G169" s="3">
        <v>2765</v>
      </c>
      <c r="H169" s="3">
        <v>2766.65</v>
      </c>
      <c r="I169" s="3">
        <v>2814.22</v>
      </c>
      <c r="J169" s="3">
        <v>3350</v>
      </c>
      <c r="K169" s="3">
        <v>1857.75</v>
      </c>
      <c r="L169" s="1" t="s">
        <v>792</v>
      </c>
      <c r="M169" s="1" t="s">
        <v>793</v>
      </c>
      <c r="N169" s="1" t="s">
        <v>794</v>
      </c>
      <c r="O169" s="7">
        <f t="shared" si="8"/>
        <v>-3.2825855167712534</v>
      </c>
      <c r="P169" s="8">
        <f t="shared" si="9"/>
        <v>127.65000000000009</v>
      </c>
      <c r="Q169" s="7">
        <f t="shared" si="10"/>
        <v>12.744923084842609</v>
      </c>
      <c r="R169" s="7">
        <f t="shared" si="11"/>
        <v>-17.413432835820895</v>
      </c>
    </row>
    <row r="170" spans="1:18" customFormat="1" ht="14.4" customHeight="1">
      <c r="A170" s="2">
        <v>45422</v>
      </c>
      <c r="B170" s="1" t="s">
        <v>14</v>
      </c>
      <c r="C170" s="3">
        <v>2794.95</v>
      </c>
      <c r="D170" s="3">
        <v>2809</v>
      </c>
      <c r="E170" s="3">
        <v>2760.45</v>
      </c>
      <c r="F170" s="3">
        <v>2766.65</v>
      </c>
      <c r="G170" s="3">
        <v>2803.9</v>
      </c>
      <c r="H170" s="3">
        <v>2797.25</v>
      </c>
      <c r="I170" s="3">
        <v>2791.48</v>
      </c>
      <c r="J170" s="3">
        <v>3350</v>
      </c>
      <c r="K170" s="3">
        <v>1857.75</v>
      </c>
      <c r="L170" s="1" t="s">
        <v>790</v>
      </c>
      <c r="M170" s="1" t="s">
        <v>791</v>
      </c>
      <c r="N170" s="4">
        <v>79999</v>
      </c>
      <c r="O170" s="7">
        <f t="shared" si="8"/>
        <v>1.1060307592214378</v>
      </c>
      <c r="P170" s="8">
        <f t="shared" si="9"/>
        <v>48.550000000000182</v>
      </c>
      <c r="Q170" s="7">
        <f t="shared" si="10"/>
        <v>29.435292941161766</v>
      </c>
      <c r="R170" s="7">
        <f t="shared" si="11"/>
        <v>-16.5</v>
      </c>
    </row>
    <row r="171" spans="1:18" customFormat="1" ht="14.4" customHeight="1">
      <c r="A171" s="2">
        <v>45425</v>
      </c>
      <c r="B171" s="1" t="s">
        <v>14</v>
      </c>
      <c r="C171" s="3">
        <v>2803</v>
      </c>
      <c r="D171" s="3">
        <v>2890</v>
      </c>
      <c r="E171" s="3">
        <v>2790.5</v>
      </c>
      <c r="F171" s="3">
        <v>2797.25</v>
      </c>
      <c r="G171" s="3">
        <v>2888.85</v>
      </c>
      <c r="H171" s="3">
        <v>2879.6</v>
      </c>
      <c r="I171" s="3">
        <v>2839.27</v>
      </c>
      <c r="J171" s="3">
        <v>3350</v>
      </c>
      <c r="K171" s="3">
        <v>1857.75</v>
      </c>
      <c r="L171" s="1" t="s">
        <v>787</v>
      </c>
      <c r="M171" s="1" t="s">
        <v>788</v>
      </c>
      <c r="N171" s="1" t="s">
        <v>789</v>
      </c>
      <c r="O171" s="7">
        <f t="shared" si="8"/>
        <v>2.9439628206273984</v>
      </c>
      <c r="P171" s="8">
        <f t="shared" si="9"/>
        <v>99.5</v>
      </c>
      <c r="Q171" s="7">
        <f t="shared" si="10"/>
        <v>32.644730258958297</v>
      </c>
      <c r="R171" s="7">
        <f t="shared" si="11"/>
        <v>-14.041791044776122</v>
      </c>
    </row>
    <row r="172" spans="1:18" customFormat="1" ht="14.4" customHeight="1">
      <c r="A172" s="2">
        <v>45426</v>
      </c>
      <c r="B172" s="1" t="s">
        <v>14</v>
      </c>
      <c r="C172" s="3">
        <v>2894.95</v>
      </c>
      <c r="D172" s="3">
        <v>3046</v>
      </c>
      <c r="E172" s="3">
        <v>2874.55</v>
      </c>
      <c r="F172" s="3">
        <v>2879.6</v>
      </c>
      <c r="G172" s="3">
        <v>3035</v>
      </c>
      <c r="H172" s="3">
        <v>3037.55</v>
      </c>
      <c r="I172" s="3">
        <v>2995.85</v>
      </c>
      <c r="J172" s="3">
        <v>3350</v>
      </c>
      <c r="K172" s="3">
        <v>1857.75</v>
      </c>
      <c r="L172" s="1" t="s">
        <v>784</v>
      </c>
      <c r="M172" s="1" t="s">
        <v>785</v>
      </c>
      <c r="N172" s="1" t="s">
        <v>786</v>
      </c>
      <c r="O172" s="7">
        <f t="shared" si="8"/>
        <v>5.4851368245589764</v>
      </c>
      <c r="P172" s="8">
        <f t="shared" si="9"/>
        <v>171.44999999999982</v>
      </c>
      <c r="Q172" s="7">
        <f t="shared" si="10"/>
        <v>29.069879726045478</v>
      </c>
      <c r="R172" s="7">
        <f t="shared" si="11"/>
        <v>-9.3268656716417855</v>
      </c>
    </row>
    <row r="173" spans="1:18" customFormat="1" ht="14.4" customHeight="1">
      <c r="A173" s="2">
        <v>45427</v>
      </c>
      <c r="B173" s="1" t="s">
        <v>14</v>
      </c>
      <c r="C173" s="3">
        <v>3046.75</v>
      </c>
      <c r="D173" s="3">
        <v>3118.85</v>
      </c>
      <c r="E173" s="3">
        <v>3037.6</v>
      </c>
      <c r="F173" s="3">
        <v>3037.55</v>
      </c>
      <c r="G173" s="3">
        <v>3047</v>
      </c>
      <c r="H173" s="3">
        <v>3049.75</v>
      </c>
      <c r="I173" s="3">
        <v>3074.65</v>
      </c>
      <c r="J173" s="3">
        <v>3350</v>
      </c>
      <c r="K173" s="3">
        <v>1857.75</v>
      </c>
      <c r="L173" s="1" t="s">
        <v>782</v>
      </c>
      <c r="M173" s="1" t="s">
        <v>783</v>
      </c>
      <c r="N173" s="4">
        <v>93983</v>
      </c>
      <c r="O173" s="7">
        <f t="shared" si="8"/>
        <v>0.40163947918552179</v>
      </c>
      <c r="P173" s="8">
        <f t="shared" si="9"/>
        <v>81.25</v>
      </c>
      <c r="Q173" s="7">
        <f t="shared" si="10"/>
        <v>17.969590245044316</v>
      </c>
      <c r="R173" s="7">
        <f t="shared" si="11"/>
        <v>-8.9626865671641802</v>
      </c>
    </row>
    <row r="174" spans="1:18" customFormat="1" ht="14.4" customHeight="1">
      <c r="A174" s="2">
        <v>45428</v>
      </c>
      <c r="B174" s="1" t="s">
        <v>14</v>
      </c>
      <c r="C174" s="3">
        <v>3065</v>
      </c>
      <c r="D174" s="3">
        <v>3076.95</v>
      </c>
      <c r="E174" s="3">
        <v>2974.95</v>
      </c>
      <c r="F174" s="3">
        <v>3049.75</v>
      </c>
      <c r="G174" s="3">
        <v>3034.05</v>
      </c>
      <c r="H174" s="3">
        <v>3041.65</v>
      </c>
      <c r="I174" s="3">
        <v>3022.05</v>
      </c>
      <c r="J174" s="3">
        <v>3350</v>
      </c>
      <c r="K174" s="3">
        <v>1857.75</v>
      </c>
      <c r="L174" s="1" t="s">
        <v>779</v>
      </c>
      <c r="M174" s="1" t="s">
        <v>780</v>
      </c>
      <c r="N174" s="1" t="s">
        <v>781</v>
      </c>
      <c r="O174" s="7">
        <f t="shared" si="8"/>
        <v>-0.26559554061808044</v>
      </c>
      <c r="P174" s="8">
        <f t="shared" si="9"/>
        <v>102</v>
      </c>
      <c r="Q174" s="7">
        <f t="shared" si="10"/>
        <v>12.744160208871483</v>
      </c>
      <c r="R174" s="7">
        <f t="shared" si="11"/>
        <v>-9.2044776119402947</v>
      </c>
    </row>
    <row r="175" spans="1:18" customFormat="1" ht="14.4" customHeight="1">
      <c r="A175" s="2">
        <v>45429</v>
      </c>
      <c r="B175" s="1" t="s">
        <v>14</v>
      </c>
      <c r="C175" s="3">
        <v>3041.05</v>
      </c>
      <c r="D175" s="3">
        <v>3091</v>
      </c>
      <c r="E175" s="3">
        <v>3015.5</v>
      </c>
      <c r="F175" s="3">
        <v>3041.65</v>
      </c>
      <c r="G175" s="3">
        <v>3057</v>
      </c>
      <c r="H175" s="3">
        <v>3060.5</v>
      </c>
      <c r="I175" s="3">
        <v>3053.08</v>
      </c>
      <c r="J175" s="3">
        <v>3350</v>
      </c>
      <c r="K175" s="3">
        <v>1857.75</v>
      </c>
      <c r="L175" s="1" t="s">
        <v>777</v>
      </c>
      <c r="M175" s="1" t="s">
        <v>778</v>
      </c>
      <c r="N175" s="4">
        <v>74283</v>
      </c>
      <c r="O175" s="7">
        <f t="shared" si="8"/>
        <v>0.61972942317491853</v>
      </c>
      <c r="P175" s="8">
        <f t="shared" si="9"/>
        <v>75.5</v>
      </c>
      <c r="Q175" s="7">
        <f t="shared" si="10"/>
        <v>11.112044478548254</v>
      </c>
      <c r="R175" s="7">
        <f t="shared" si="11"/>
        <v>-8.6417910447761184</v>
      </c>
    </row>
    <row r="176" spans="1:18" customFormat="1" ht="14.4" customHeight="1">
      <c r="A176" s="2">
        <v>45430</v>
      </c>
      <c r="B176" s="1" t="s">
        <v>14</v>
      </c>
      <c r="C176" s="3">
        <v>3074</v>
      </c>
      <c r="D176" s="3">
        <v>3074</v>
      </c>
      <c r="E176" s="3">
        <v>3055</v>
      </c>
      <c r="F176" s="3">
        <v>3060.5</v>
      </c>
      <c r="G176" s="3">
        <v>3061</v>
      </c>
      <c r="H176" s="3">
        <v>3059.75</v>
      </c>
      <c r="I176" s="3">
        <v>3064.28</v>
      </c>
      <c r="J176" s="3">
        <v>3350</v>
      </c>
      <c r="K176" s="3">
        <v>1857.75</v>
      </c>
      <c r="L176" s="4">
        <v>74336</v>
      </c>
      <c r="M176" s="1" t="s">
        <v>776</v>
      </c>
      <c r="N176" s="4">
        <v>5248</v>
      </c>
      <c r="O176" s="7">
        <f t="shared" si="8"/>
        <v>-2.4505799705930403E-2</v>
      </c>
      <c r="P176" s="8">
        <f t="shared" si="9"/>
        <v>19</v>
      </c>
      <c r="Q176" s="7">
        <f t="shared" si="10"/>
        <v>14.164634146341463</v>
      </c>
      <c r="R176" s="7">
        <f t="shared" si="11"/>
        <v>-8.6641791044776131</v>
      </c>
    </row>
    <row r="177" spans="1:18" customFormat="1" ht="14.4" customHeight="1">
      <c r="A177" s="2">
        <v>45433</v>
      </c>
      <c r="B177" s="1" t="s">
        <v>14</v>
      </c>
      <c r="C177" s="3">
        <v>3067.9</v>
      </c>
      <c r="D177" s="3">
        <v>3175</v>
      </c>
      <c r="E177" s="3">
        <v>3034.5</v>
      </c>
      <c r="F177" s="3">
        <v>3059.75</v>
      </c>
      <c r="G177" s="3">
        <v>3110</v>
      </c>
      <c r="H177" s="3">
        <v>3117.5</v>
      </c>
      <c r="I177" s="3">
        <v>3123.72</v>
      </c>
      <c r="J177" s="3">
        <v>3350</v>
      </c>
      <c r="K177" s="3">
        <v>1983.4</v>
      </c>
      <c r="L177" s="1" t="s">
        <v>773</v>
      </c>
      <c r="M177" s="1" t="s">
        <v>774</v>
      </c>
      <c r="N177" s="1" t="s">
        <v>775</v>
      </c>
      <c r="O177" s="7">
        <f t="shared" si="8"/>
        <v>1.8874091020508212</v>
      </c>
      <c r="P177" s="8">
        <f t="shared" si="9"/>
        <v>140.5</v>
      </c>
      <c r="Q177" s="7">
        <f t="shared" si="10"/>
        <v>22.755374820593971</v>
      </c>
      <c r="R177" s="7">
        <f t="shared" si="11"/>
        <v>-6.9402985074626864</v>
      </c>
    </row>
    <row r="178" spans="1:18" customFormat="1" ht="14.4" customHeight="1">
      <c r="A178" s="2">
        <v>45434</v>
      </c>
      <c r="B178" s="1" t="s">
        <v>14</v>
      </c>
      <c r="C178" s="3">
        <v>3129.95</v>
      </c>
      <c r="D178" s="3">
        <v>3145</v>
      </c>
      <c r="E178" s="3">
        <v>3073.5</v>
      </c>
      <c r="F178" s="3">
        <v>3117.5</v>
      </c>
      <c r="G178" s="3">
        <v>3137</v>
      </c>
      <c r="H178" s="3">
        <v>3140.95</v>
      </c>
      <c r="I178" s="3">
        <v>3121.08</v>
      </c>
      <c r="J178" s="3">
        <v>3350</v>
      </c>
      <c r="K178" s="3">
        <v>1983.4</v>
      </c>
      <c r="L178" s="1" t="s">
        <v>771</v>
      </c>
      <c r="M178" s="1" t="s">
        <v>772</v>
      </c>
      <c r="N178" s="4">
        <v>95242</v>
      </c>
      <c r="O178" s="7">
        <f t="shared" si="8"/>
        <v>0.75220529270248015</v>
      </c>
      <c r="P178" s="8">
        <f t="shared" si="9"/>
        <v>71.5</v>
      </c>
      <c r="Q178" s="7">
        <f t="shared" si="10"/>
        <v>35.394857310850256</v>
      </c>
      <c r="R178" s="7">
        <f t="shared" si="11"/>
        <v>-6.2402985074626915</v>
      </c>
    </row>
    <row r="179" spans="1:18" customFormat="1" ht="14.4" customHeight="1">
      <c r="A179" s="2">
        <v>45435</v>
      </c>
      <c r="B179" s="1" t="s">
        <v>14</v>
      </c>
      <c r="C179" s="3">
        <v>3156.7</v>
      </c>
      <c r="D179" s="3">
        <v>3406</v>
      </c>
      <c r="E179" s="3">
        <v>3135.55</v>
      </c>
      <c r="F179" s="3">
        <v>3140.95</v>
      </c>
      <c r="G179" s="3">
        <v>3398.2</v>
      </c>
      <c r="H179" s="3">
        <v>3387.3</v>
      </c>
      <c r="I179" s="3">
        <v>3302.83</v>
      </c>
      <c r="J179" s="3">
        <v>3406</v>
      </c>
      <c r="K179" s="3">
        <v>1983.4</v>
      </c>
      <c r="L179" s="1" t="s">
        <v>768</v>
      </c>
      <c r="M179" s="1" t="s">
        <v>769</v>
      </c>
      <c r="N179" s="1" t="s">
        <v>770</v>
      </c>
      <c r="O179" s="7">
        <f t="shared" si="8"/>
        <v>7.8431684681386322</v>
      </c>
      <c r="P179" s="8">
        <f t="shared" si="9"/>
        <v>270.44999999999982</v>
      </c>
      <c r="Q179" s="7">
        <f t="shared" si="10"/>
        <v>21.341779429078176</v>
      </c>
      <c r="R179" s="7">
        <f t="shared" si="11"/>
        <v>-0.54903112155020017</v>
      </c>
    </row>
    <row r="180" spans="1:18" customFormat="1" ht="14.4" customHeight="1">
      <c r="A180" s="2">
        <v>45436</v>
      </c>
      <c r="B180" s="1" t="s">
        <v>14</v>
      </c>
      <c r="C180" s="3">
        <v>3406</v>
      </c>
      <c r="D180" s="3">
        <v>3457.85</v>
      </c>
      <c r="E180" s="3">
        <v>3355.6</v>
      </c>
      <c r="F180" s="3">
        <v>3387.3</v>
      </c>
      <c r="G180" s="3">
        <v>3381</v>
      </c>
      <c r="H180" s="3">
        <v>3384.95</v>
      </c>
      <c r="I180" s="3">
        <v>3409.34</v>
      </c>
      <c r="J180" s="3">
        <v>3457.85</v>
      </c>
      <c r="K180" s="3">
        <v>1983.4</v>
      </c>
      <c r="L180" s="1" t="s">
        <v>765</v>
      </c>
      <c r="M180" s="1" t="s">
        <v>766</v>
      </c>
      <c r="N180" s="1" t="s">
        <v>767</v>
      </c>
      <c r="O180" s="7">
        <f t="shared" si="8"/>
        <v>-6.9376789773576697E-2</v>
      </c>
      <c r="P180" s="8">
        <f t="shared" si="9"/>
        <v>102.25</v>
      </c>
      <c r="Q180" s="7">
        <f t="shared" si="10"/>
        <v>19.362482023611776</v>
      </c>
      <c r="R180" s="7">
        <f t="shared" si="11"/>
        <v>-2.1082464537212458</v>
      </c>
    </row>
    <row r="181" spans="1:18" customFormat="1" ht="14.4" customHeight="1">
      <c r="A181" s="2">
        <v>45439</v>
      </c>
      <c r="B181" s="1" t="s">
        <v>14</v>
      </c>
      <c r="C181" s="3">
        <v>3358</v>
      </c>
      <c r="D181" s="3">
        <v>3358</v>
      </c>
      <c r="E181" s="3">
        <v>3267.05</v>
      </c>
      <c r="F181" s="3">
        <v>3384.95</v>
      </c>
      <c r="G181" s="3">
        <v>3295.05</v>
      </c>
      <c r="H181" s="3">
        <v>3289.05</v>
      </c>
      <c r="I181" s="3">
        <v>3307.4</v>
      </c>
      <c r="J181" s="3">
        <v>3457.85</v>
      </c>
      <c r="K181" s="3">
        <v>2142</v>
      </c>
      <c r="L181" s="1" t="s">
        <v>762</v>
      </c>
      <c r="M181" s="1" t="s">
        <v>763</v>
      </c>
      <c r="N181" s="1" t="s">
        <v>764</v>
      </c>
      <c r="O181" s="7">
        <f t="shared" si="8"/>
        <v>-2.8331289974741027</v>
      </c>
      <c r="P181" s="8">
        <f t="shared" si="9"/>
        <v>90.949999999999818</v>
      </c>
      <c r="Q181" s="7">
        <f t="shared" si="10"/>
        <v>18.44355489533713</v>
      </c>
      <c r="R181" s="7">
        <f t="shared" si="11"/>
        <v>-4.881646109576752</v>
      </c>
    </row>
    <row r="182" spans="1:18" customFormat="1" ht="14.4" customHeight="1">
      <c r="A182" s="2">
        <v>45440</v>
      </c>
      <c r="B182" s="1" t="s">
        <v>14</v>
      </c>
      <c r="C182" s="3">
        <v>3309.65</v>
      </c>
      <c r="D182" s="3">
        <v>3329.5</v>
      </c>
      <c r="E182" s="3">
        <v>3229.05</v>
      </c>
      <c r="F182" s="3">
        <v>3289.05</v>
      </c>
      <c r="G182" s="3">
        <v>3239</v>
      </c>
      <c r="H182" s="3">
        <v>3244.05</v>
      </c>
      <c r="I182" s="3">
        <v>3282.72</v>
      </c>
      <c r="J182" s="3">
        <v>3457.85</v>
      </c>
      <c r="K182" s="3">
        <v>2142</v>
      </c>
      <c r="L182" s="1" t="s">
        <v>760</v>
      </c>
      <c r="M182" s="1" t="s">
        <v>761</v>
      </c>
      <c r="N182" s="4">
        <v>95508</v>
      </c>
      <c r="O182" s="7">
        <f t="shared" si="8"/>
        <v>-1.3681762210972772</v>
      </c>
      <c r="P182" s="8">
        <f t="shared" si="9"/>
        <v>100.44999999999982</v>
      </c>
      <c r="Q182" s="7">
        <f t="shared" si="10"/>
        <v>16.974159232734429</v>
      </c>
      <c r="R182" s="7">
        <f t="shared" si="11"/>
        <v>-6.18303280940468</v>
      </c>
    </row>
    <row r="183" spans="1:18" customFormat="1" ht="14.4" customHeight="1">
      <c r="A183" s="2">
        <v>45441</v>
      </c>
      <c r="B183" s="1" t="s">
        <v>14</v>
      </c>
      <c r="C183" s="3">
        <v>3250</v>
      </c>
      <c r="D183" s="3">
        <v>3322.9</v>
      </c>
      <c r="E183" s="3">
        <v>3212</v>
      </c>
      <c r="F183" s="3">
        <v>3244.05</v>
      </c>
      <c r="G183" s="3">
        <v>3255</v>
      </c>
      <c r="H183" s="3">
        <v>3258.8</v>
      </c>
      <c r="I183" s="3">
        <v>3270.3</v>
      </c>
      <c r="J183" s="3">
        <v>3457.85</v>
      </c>
      <c r="K183" s="3">
        <v>2142</v>
      </c>
      <c r="L183" s="1" t="s">
        <v>758</v>
      </c>
      <c r="M183" s="1" t="s">
        <v>759</v>
      </c>
      <c r="N183" s="4">
        <v>98310</v>
      </c>
      <c r="O183" s="7">
        <f t="shared" si="8"/>
        <v>0.45467856537352996</v>
      </c>
      <c r="P183" s="8">
        <f t="shared" si="9"/>
        <v>110.90000000000009</v>
      </c>
      <c r="Q183" s="7">
        <f t="shared" si="10"/>
        <v>19.435754246770419</v>
      </c>
      <c r="R183" s="7">
        <f t="shared" si="11"/>
        <v>-5.7564671689055258</v>
      </c>
    </row>
    <row r="184" spans="1:18" customFormat="1" ht="14.4" customHeight="1">
      <c r="A184" s="2">
        <v>45442</v>
      </c>
      <c r="B184" s="1" t="s">
        <v>14</v>
      </c>
      <c r="C184" s="3">
        <v>3254</v>
      </c>
      <c r="D184" s="3">
        <v>3274.3</v>
      </c>
      <c r="E184" s="3">
        <v>3174.5</v>
      </c>
      <c r="F184" s="3">
        <v>3258.8</v>
      </c>
      <c r="G184" s="3">
        <v>3209.9</v>
      </c>
      <c r="H184" s="3">
        <v>3194.25</v>
      </c>
      <c r="I184" s="3">
        <v>3219.99</v>
      </c>
      <c r="J184" s="3">
        <v>3457.85</v>
      </c>
      <c r="K184" s="3">
        <v>2142</v>
      </c>
      <c r="L184" s="1" t="s">
        <v>755</v>
      </c>
      <c r="M184" s="1" t="s">
        <v>756</v>
      </c>
      <c r="N184" s="1" t="s">
        <v>757</v>
      </c>
      <c r="O184" s="7">
        <f t="shared" si="8"/>
        <v>-1.9807904750214858</v>
      </c>
      <c r="P184" s="8">
        <f t="shared" si="9"/>
        <v>99.800000000000182</v>
      </c>
      <c r="Q184" s="7">
        <f t="shared" si="10"/>
        <v>17.680522364855861</v>
      </c>
      <c r="R184" s="7">
        <f t="shared" si="11"/>
        <v>-7.6232340905475926</v>
      </c>
    </row>
    <row r="185" spans="1:18" customFormat="1" ht="14.4" customHeight="1">
      <c r="A185" s="2">
        <v>45443</v>
      </c>
      <c r="B185" s="1" t="s">
        <v>14</v>
      </c>
      <c r="C185" s="3">
        <v>3225.25</v>
      </c>
      <c r="D185" s="3">
        <v>3434.45</v>
      </c>
      <c r="E185" s="3">
        <v>3225.25</v>
      </c>
      <c r="F185" s="3">
        <v>3194.25</v>
      </c>
      <c r="G185" s="3">
        <v>3416</v>
      </c>
      <c r="H185" s="3">
        <v>3411.35</v>
      </c>
      <c r="I185" s="3">
        <v>3359.45</v>
      </c>
      <c r="J185" s="3">
        <v>3457.85</v>
      </c>
      <c r="K185" s="3">
        <v>2142</v>
      </c>
      <c r="L185" s="1" t="s">
        <v>752</v>
      </c>
      <c r="M185" s="1" t="s">
        <v>753</v>
      </c>
      <c r="N185" s="1" t="s">
        <v>754</v>
      </c>
      <c r="O185" s="7">
        <f t="shared" si="8"/>
        <v>6.7965876183767673</v>
      </c>
      <c r="P185" s="8">
        <f t="shared" si="9"/>
        <v>209.19999999999982</v>
      </c>
      <c r="Q185" s="7">
        <f t="shared" si="10"/>
        <v>22.015748221557857</v>
      </c>
      <c r="R185" s="7">
        <f t="shared" si="11"/>
        <v>-1.3447662564888587</v>
      </c>
    </row>
    <row r="186" spans="1:18" customFormat="1" ht="14.4" customHeight="1">
      <c r="A186" s="2">
        <v>45446</v>
      </c>
      <c r="B186" s="1" t="s">
        <v>14</v>
      </c>
      <c r="C186" s="3">
        <v>3725</v>
      </c>
      <c r="D186" s="3">
        <v>3743.9</v>
      </c>
      <c r="E186" s="3">
        <v>3586.05</v>
      </c>
      <c r="F186" s="3">
        <v>3411.35</v>
      </c>
      <c r="G186" s="3">
        <v>3660.1</v>
      </c>
      <c r="H186" s="3">
        <v>3645.25</v>
      </c>
      <c r="I186" s="3">
        <v>3659.12</v>
      </c>
      <c r="J186" s="3">
        <v>3743.9</v>
      </c>
      <c r="K186" s="3">
        <v>2142</v>
      </c>
      <c r="L186" s="1" t="s">
        <v>749</v>
      </c>
      <c r="M186" s="1" t="s">
        <v>750</v>
      </c>
      <c r="N186" s="1" t="s">
        <v>751</v>
      </c>
      <c r="O186" s="7">
        <f t="shared" si="8"/>
        <v>6.8565230773740629</v>
      </c>
      <c r="P186" s="8">
        <f t="shared" si="9"/>
        <v>157.84999999999991</v>
      </c>
      <c r="Q186" s="7">
        <f t="shared" si="10"/>
        <v>20.519830660073726</v>
      </c>
      <c r="R186" s="7">
        <f t="shared" si="11"/>
        <v>-2.6349528566468146</v>
      </c>
    </row>
    <row r="187" spans="1:18" customFormat="1" ht="14.4" customHeight="1">
      <c r="A187" s="2">
        <v>45447</v>
      </c>
      <c r="B187" s="1" t="s">
        <v>14</v>
      </c>
      <c r="C187" s="3">
        <v>3520</v>
      </c>
      <c r="D187" s="3">
        <v>3520</v>
      </c>
      <c r="E187" s="3">
        <v>2733.95</v>
      </c>
      <c r="F187" s="3">
        <v>3645.25</v>
      </c>
      <c r="G187" s="3">
        <v>2950</v>
      </c>
      <c r="H187" s="3">
        <v>2941.25</v>
      </c>
      <c r="I187" s="3">
        <v>3136.46</v>
      </c>
      <c r="J187" s="3">
        <v>3743.9</v>
      </c>
      <c r="K187" s="3">
        <v>2142</v>
      </c>
      <c r="L187" s="1" t="s">
        <v>746</v>
      </c>
      <c r="M187" s="1" t="s">
        <v>747</v>
      </c>
      <c r="N187" s="1" t="s">
        <v>748</v>
      </c>
      <c r="O187" s="7">
        <f t="shared" si="8"/>
        <v>-19.31280433440779</v>
      </c>
      <c r="P187" s="8">
        <f t="shared" si="9"/>
        <v>786.05000000000018</v>
      </c>
      <c r="Q187" s="7">
        <f t="shared" si="10"/>
        <v>23.939289162492472</v>
      </c>
      <c r="R187" s="7">
        <f t="shared" si="11"/>
        <v>-21.438873901546518</v>
      </c>
    </row>
    <row r="188" spans="1:18" customFormat="1" ht="14.4" customHeight="1">
      <c r="A188" s="2">
        <v>45448</v>
      </c>
      <c r="B188" s="1" t="s">
        <v>14</v>
      </c>
      <c r="C188" s="3">
        <v>3030</v>
      </c>
      <c r="D188" s="3">
        <v>3150</v>
      </c>
      <c r="E188" s="3">
        <v>2750</v>
      </c>
      <c r="F188" s="3">
        <v>2941.25</v>
      </c>
      <c r="G188" s="3">
        <v>3093</v>
      </c>
      <c r="H188" s="3">
        <v>3115.35</v>
      </c>
      <c r="I188" s="3">
        <v>2958.33</v>
      </c>
      <c r="J188" s="3">
        <v>3743.9</v>
      </c>
      <c r="K188" s="3">
        <v>2142</v>
      </c>
      <c r="L188" s="1" t="s">
        <v>743</v>
      </c>
      <c r="M188" s="1" t="s">
        <v>744</v>
      </c>
      <c r="N188" s="1" t="s">
        <v>745</v>
      </c>
      <c r="O188" s="7">
        <f t="shared" si="8"/>
        <v>5.9192520186995292</v>
      </c>
      <c r="P188" s="8">
        <f t="shared" si="9"/>
        <v>400</v>
      </c>
      <c r="Q188" s="7">
        <f t="shared" si="10"/>
        <v>14.321283024285513</v>
      </c>
      <c r="R188" s="7">
        <f t="shared" si="11"/>
        <v>-16.788642859050725</v>
      </c>
    </row>
    <row r="189" spans="1:18" customFormat="1" ht="14.4" customHeight="1">
      <c r="A189" s="2">
        <v>45449</v>
      </c>
      <c r="B189" s="1" t="s">
        <v>14</v>
      </c>
      <c r="C189" s="3">
        <v>3184</v>
      </c>
      <c r="D189" s="3">
        <v>3222.4</v>
      </c>
      <c r="E189" s="3">
        <v>3137.15</v>
      </c>
      <c r="F189" s="3">
        <v>3115.35</v>
      </c>
      <c r="G189" s="3">
        <v>3181.6</v>
      </c>
      <c r="H189" s="3">
        <v>3185.65</v>
      </c>
      <c r="I189" s="3">
        <v>3186.26</v>
      </c>
      <c r="J189" s="3">
        <v>3743.9</v>
      </c>
      <c r="K189" s="3">
        <v>2142</v>
      </c>
      <c r="L189" s="1" t="s">
        <v>740</v>
      </c>
      <c r="M189" s="1" t="s">
        <v>741</v>
      </c>
      <c r="N189" s="1" t="s">
        <v>742</v>
      </c>
      <c r="O189" s="7">
        <f t="shared" si="8"/>
        <v>2.25656828285747</v>
      </c>
      <c r="P189" s="8">
        <f t="shared" si="9"/>
        <v>85.25</v>
      </c>
      <c r="Q189" s="7">
        <f t="shared" si="10"/>
        <v>21.081374730796842</v>
      </c>
      <c r="R189" s="7">
        <f t="shared" si="11"/>
        <v>-14.910921766072812</v>
      </c>
    </row>
    <row r="190" spans="1:18" customFormat="1" ht="14.4" customHeight="1">
      <c r="A190" s="2">
        <v>45450</v>
      </c>
      <c r="B190" s="1" t="s">
        <v>14</v>
      </c>
      <c r="C190" s="3">
        <v>3170.4</v>
      </c>
      <c r="D190" s="3">
        <v>3233.75</v>
      </c>
      <c r="E190" s="3">
        <v>3151.6</v>
      </c>
      <c r="F190" s="3">
        <v>3185.65</v>
      </c>
      <c r="G190" s="3">
        <v>3222.5</v>
      </c>
      <c r="H190" s="3">
        <v>3219.55</v>
      </c>
      <c r="I190" s="3">
        <v>3207.35</v>
      </c>
      <c r="J190" s="3">
        <v>3743.9</v>
      </c>
      <c r="K190" s="3">
        <v>2142</v>
      </c>
      <c r="L190" s="1" t="s">
        <v>737</v>
      </c>
      <c r="M190" s="1" t="s">
        <v>738</v>
      </c>
      <c r="N190" s="1" t="s">
        <v>739</v>
      </c>
      <c r="O190" s="7">
        <f t="shared" si="8"/>
        <v>1.0641470343571984</v>
      </c>
      <c r="P190" s="8">
        <f t="shared" si="9"/>
        <v>82.150000000000091</v>
      </c>
      <c r="Q190" s="7">
        <f t="shared" si="10"/>
        <v>32.367554982008372</v>
      </c>
      <c r="R190" s="7">
        <f t="shared" si="11"/>
        <v>-14.005448863484599</v>
      </c>
    </row>
    <row r="191" spans="1:18" customFormat="1" ht="14.4" customHeight="1">
      <c r="A191" s="2">
        <v>45453</v>
      </c>
      <c r="B191" s="1" t="s">
        <v>14</v>
      </c>
      <c r="C191" s="3">
        <v>3267</v>
      </c>
      <c r="D191" s="3">
        <v>3284.4</v>
      </c>
      <c r="E191" s="3">
        <v>3205.5</v>
      </c>
      <c r="F191" s="3">
        <v>3219.55</v>
      </c>
      <c r="G191" s="3">
        <v>3212.3</v>
      </c>
      <c r="H191" s="3">
        <v>3220.1</v>
      </c>
      <c r="I191" s="3">
        <v>3247.8</v>
      </c>
      <c r="J191" s="3">
        <v>3743.9</v>
      </c>
      <c r="K191" s="3">
        <v>2142</v>
      </c>
      <c r="L191" s="1" t="s">
        <v>734</v>
      </c>
      <c r="M191" s="1" t="s">
        <v>735</v>
      </c>
      <c r="N191" s="1" t="s">
        <v>736</v>
      </c>
      <c r="O191" s="7">
        <f t="shared" si="8"/>
        <v>1.7083132735932881E-2</v>
      </c>
      <c r="P191" s="8">
        <f t="shared" si="9"/>
        <v>78.900000000000091</v>
      </c>
      <c r="Q191" s="7">
        <f t="shared" si="10"/>
        <v>32.352079810175532</v>
      </c>
      <c r="R191" s="7">
        <f t="shared" si="11"/>
        <v>-13.990758300168279</v>
      </c>
    </row>
    <row r="192" spans="1:18" customFormat="1" ht="14.4" customHeight="1">
      <c r="A192" s="2">
        <v>45454</v>
      </c>
      <c r="B192" s="1" t="s">
        <v>14</v>
      </c>
      <c r="C192" s="3">
        <v>3224</v>
      </c>
      <c r="D192" s="3">
        <v>3265</v>
      </c>
      <c r="E192" s="3">
        <v>3195.05</v>
      </c>
      <c r="F192" s="3">
        <v>3220.1</v>
      </c>
      <c r="G192" s="3">
        <v>3215</v>
      </c>
      <c r="H192" s="3">
        <v>3221.25</v>
      </c>
      <c r="I192" s="3">
        <v>3235.16</v>
      </c>
      <c r="J192" s="3">
        <v>3743.9</v>
      </c>
      <c r="K192" s="3">
        <v>2142</v>
      </c>
      <c r="L192" s="1" t="s">
        <v>731</v>
      </c>
      <c r="M192" s="1" t="s">
        <v>732</v>
      </c>
      <c r="N192" s="1" t="s">
        <v>733</v>
      </c>
      <c r="O192" s="7">
        <f t="shared" si="8"/>
        <v>3.5713176609424892E-2</v>
      </c>
      <c r="P192" s="8">
        <f t="shared" si="9"/>
        <v>69.949999999999818</v>
      </c>
      <c r="Q192" s="7">
        <f t="shared" si="10"/>
        <v>34.436402640264028</v>
      </c>
      <c r="R192" s="7">
        <f t="shared" si="11"/>
        <v>-13.96004166777959</v>
      </c>
    </row>
    <row r="193" spans="1:18" customFormat="1" ht="14.4" customHeight="1">
      <c r="A193" s="2">
        <v>45455</v>
      </c>
      <c r="B193" s="1" t="s">
        <v>14</v>
      </c>
      <c r="C193" s="3">
        <v>3224.9</v>
      </c>
      <c r="D193" s="3">
        <v>3245</v>
      </c>
      <c r="E193" s="3">
        <v>3208</v>
      </c>
      <c r="F193" s="3">
        <v>3221.25</v>
      </c>
      <c r="G193" s="3">
        <v>3209</v>
      </c>
      <c r="H193" s="3">
        <v>3219.05</v>
      </c>
      <c r="I193" s="3">
        <v>3226.61</v>
      </c>
      <c r="J193" s="3">
        <v>3743.9</v>
      </c>
      <c r="K193" s="3">
        <v>2142</v>
      </c>
      <c r="L193" s="1" t="s">
        <v>729</v>
      </c>
      <c r="M193" s="1" t="s">
        <v>730</v>
      </c>
      <c r="N193" s="4">
        <v>74328</v>
      </c>
      <c r="O193" s="7">
        <f t="shared" si="8"/>
        <v>-6.8296468762120852E-2</v>
      </c>
      <c r="P193" s="8">
        <f t="shared" si="9"/>
        <v>37</v>
      </c>
      <c r="Q193" s="7">
        <f t="shared" si="10"/>
        <v>40.664043160047356</v>
      </c>
      <c r="R193" s="7">
        <f t="shared" si="11"/>
        <v>-14.018803921044897</v>
      </c>
    </row>
    <row r="194" spans="1:18" customFormat="1" ht="14.4" customHeight="1">
      <c r="A194" s="2">
        <v>45456</v>
      </c>
      <c r="B194" s="1" t="s">
        <v>14</v>
      </c>
      <c r="C194" s="3">
        <v>3230</v>
      </c>
      <c r="D194" s="3">
        <v>3254</v>
      </c>
      <c r="E194" s="3">
        <v>3207.25</v>
      </c>
      <c r="F194" s="3">
        <v>3219.05</v>
      </c>
      <c r="G194" s="3">
        <v>3222.25</v>
      </c>
      <c r="H194" s="3">
        <v>3224.8</v>
      </c>
      <c r="I194" s="3">
        <v>3221.11</v>
      </c>
      <c r="J194" s="3">
        <v>3743.9</v>
      </c>
      <c r="K194" s="3">
        <v>2142</v>
      </c>
      <c r="L194" s="1" t="s">
        <v>727</v>
      </c>
      <c r="M194" s="1" t="s">
        <v>728</v>
      </c>
      <c r="N194" s="4">
        <v>96083</v>
      </c>
      <c r="O194" s="7">
        <f t="shared" ref="O194:O257" si="12">((H194-F194)/F194)*100</f>
        <v>0.17862412823659155</v>
      </c>
      <c r="P194" s="8">
        <f t="shared" ref="P194:P257" si="13">(D194-E194)</f>
        <v>46.75</v>
      </c>
      <c r="Q194" s="7">
        <f t="shared" ref="Q194:Q257" si="14">IF(N194=0,0,L194/N194)</f>
        <v>33.335532820582202</v>
      </c>
      <c r="R194" s="7">
        <f t="shared" ref="R194:R257" si="15">((H194-J194)/J194)*100</f>
        <v>-13.865220759101469</v>
      </c>
    </row>
    <row r="195" spans="1:18" ht="14.4" customHeight="1">
      <c r="A195" s="2">
        <v>45457</v>
      </c>
      <c r="B195" s="1" t="s">
        <v>14</v>
      </c>
      <c r="C195" s="3">
        <v>3225</v>
      </c>
      <c r="D195" s="3">
        <v>3275</v>
      </c>
      <c r="E195" s="3">
        <v>3221.1</v>
      </c>
      <c r="F195" s="3">
        <v>3224.8</v>
      </c>
      <c r="G195" s="3">
        <v>3269</v>
      </c>
      <c r="H195" s="3">
        <v>3261.75</v>
      </c>
      <c r="I195" s="3">
        <v>3252.79</v>
      </c>
      <c r="J195" s="3">
        <v>3743.9</v>
      </c>
      <c r="K195" s="3">
        <v>2142</v>
      </c>
      <c r="L195" s="1" t="s">
        <v>725</v>
      </c>
      <c r="M195" s="1" t="s">
        <v>726</v>
      </c>
      <c r="N195" s="4">
        <v>98091</v>
      </c>
      <c r="O195" s="7">
        <f t="shared" si="12"/>
        <v>1.1458074919374788</v>
      </c>
      <c r="P195" s="8">
        <f t="shared" si="13"/>
        <v>53.900000000000091</v>
      </c>
      <c r="Q195" s="7">
        <f t="shared" si="14"/>
        <v>43.070771018747898</v>
      </c>
      <c r="R195" s="7">
        <f t="shared" si="15"/>
        <v>-12.878282005395445</v>
      </c>
    </row>
    <row r="196" spans="1:18" ht="14.4" customHeight="1">
      <c r="A196" s="2">
        <v>45461</v>
      </c>
      <c r="B196" s="1" t="s">
        <v>14</v>
      </c>
      <c r="C196" s="3">
        <v>3310</v>
      </c>
      <c r="D196" s="3">
        <v>3345</v>
      </c>
      <c r="E196" s="3">
        <v>3287.2</v>
      </c>
      <c r="F196" s="3">
        <v>3261.75</v>
      </c>
      <c r="G196" s="3">
        <v>3310.95</v>
      </c>
      <c r="H196" s="3">
        <v>3309.05</v>
      </c>
      <c r="I196" s="3">
        <v>3311.54</v>
      </c>
      <c r="J196" s="3">
        <v>3743.9</v>
      </c>
      <c r="K196" s="3">
        <v>2142</v>
      </c>
      <c r="L196" s="1" t="s">
        <v>722</v>
      </c>
      <c r="M196" s="1" t="s">
        <v>723</v>
      </c>
      <c r="N196" s="1" t="s">
        <v>724</v>
      </c>
      <c r="O196" s="7">
        <f t="shared" si="12"/>
        <v>1.4501417950486757</v>
      </c>
      <c r="P196" s="8">
        <f t="shared" si="13"/>
        <v>57.800000000000182</v>
      </c>
      <c r="Q196" s="7">
        <f t="shared" si="14"/>
        <v>16.343589122967074</v>
      </c>
      <c r="R196" s="7">
        <f t="shared" si="15"/>
        <v>-11.614893560191241</v>
      </c>
    </row>
    <row r="197" spans="1:18" ht="14.4" customHeight="1">
      <c r="A197" s="2">
        <v>45462</v>
      </c>
      <c r="B197" s="1" t="s">
        <v>14</v>
      </c>
      <c r="C197" s="3">
        <v>3314</v>
      </c>
      <c r="D197" s="3">
        <v>3314</v>
      </c>
      <c r="E197" s="3">
        <v>3226.3</v>
      </c>
      <c r="F197" s="3">
        <v>3309.05</v>
      </c>
      <c r="G197" s="3">
        <v>3264.25</v>
      </c>
      <c r="H197" s="3">
        <v>3261.9</v>
      </c>
      <c r="I197" s="3">
        <v>3259.86</v>
      </c>
      <c r="J197" s="3">
        <v>3743.9</v>
      </c>
      <c r="K197" s="3">
        <v>2142</v>
      </c>
      <c r="L197" s="1" t="s">
        <v>720</v>
      </c>
      <c r="M197" s="1" t="s">
        <v>721</v>
      </c>
      <c r="N197" s="4">
        <v>84944</v>
      </c>
      <c r="O197" s="7">
        <f t="shared" si="12"/>
        <v>-1.4248802526404887</v>
      </c>
      <c r="P197" s="8">
        <f t="shared" si="13"/>
        <v>87.699999999999818</v>
      </c>
      <c r="Q197" s="7">
        <f t="shared" si="14"/>
        <v>16.708231305330571</v>
      </c>
      <c r="R197" s="7">
        <f t="shared" si="15"/>
        <v>-12.874275488127354</v>
      </c>
    </row>
    <row r="198" spans="1:18" ht="14.4" customHeight="1">
      <c r="A198" s="2">
        <v>45463</v>
      </c>
      <c r="B198" s="1" t="s">
        <v>14</v>
      </c>
      <c r="C198" s="3">
        <v>3263.9</v>
      </c>
      <c r="D198" s="3">
        <v>3315</v>
      </c>
      <c r="E198" s="3">
        <v>3240</v>
      </c>
      <c r="F198" s="3">
        <v>3261.9</v>
      </c>
      <c r="G198" s="3">
        <v>3261.95</v>
      </c>
      <c r="H198" s="3">
        <v>3259.45</v>
      </c>
      <c r="I198" s="3">
        <v>3279.03</v>
      </c>
      <c r="J198" s="3">
        <v>3743.9</v>
      </c>
      <c r="K198" s="3">
        <v>2142</v>
      </c>
      <c r="L198" s="1" t="s">
        <v>718</v>
      </c>
      <c r="M198" s="1" t="s">
        <v>719</v>
      </c>
      <c r="N198" s="4">
        <v>97561</v>
      </c>
      <c r="O198" s="7">
        <f t="shared" si="12"/>
        <v>-7.510959870015245E-2</v>
      </c>
      <c r="P198" s="8">
        <f t="shared" si="13"/>
        <v>75</v>
      </c>
      <c r="Q198" s="7">
        <f t="shared" si="14"/>
        <v>14.007082748229314</v>
      </c>
      <c r="R198" s="7">
        <f t="shared" si="15"/>
        <v>-12.939715270172822</v>
      </c>
    </row>
    <row r="199" spans="1:18" ht="14.4" customHeight="1">
      <c r="A199" s="2">
        <v>45464</v>
      </c>
      <c r="B199" s="1" t="s">
        <v>14</v>
      </c>
      <c r="C199" s="3">
        <v>3265.05</v>
      </c>
      <c r="D199" s="3">
        <v>3277.1</v>
      </c>
      <c r="E199" s="3">
        <v>3176.4</v>
      </c>
      <c r="F199" s="3">
        <v>3259.45</v>
      </c>
      <c r="G199" s="3">
        <v>3192.8</v>
      </c>
      <c r="H199" s="3">
        <v>3189.3</v>
      </c>
      <c r="I199" s="3">
        <v>3205.27</v>
      </c>
      <c r="J199" s="3">
        <v>3743.9</v>
      </c>
      <c r="K199" s="3">
        <v>2142</v>
      </c>
      <c r="L199" s="1" t="s">
        <v>715</v>
      </c>
      <c r="M199" s="1" t="s">
        <v>716</v>
      </c>
      <c r="N199" s="1" t="s">
        <v>717</v>
      </c>
      <c r="O199" s="7">
        <f t="shared" si="12"/>
        <v>-2.1522035926306473</v>
      </c>
      <c r="P199" s="8">
        <f t="shared" si="13"/>
        <v>100.69999999999982</v>
      </c>
      <c r="Q199" s="7">
        <f t="shared" si="14"/>
        <v>29.275809849060838</v>
      </c>
      <c r="R199" s="7">
        <f t="shared" si="15"/>
        <v>-14.813429845882634</v>
      </c>
    </row>
    <row r="200" spans="1:18" ht="14.4" customHeight="1">
      <c r="A200" s="2">
        <v>45467</v>
      </c>
      <c r="B200" s="1" t="s">
        <v>14</v>
      </c>
      <c r="C200" s="3">
        <v>3185.75</v>
      </c>
      <c r="D200" s="3">
        <v>3214.8</v>
      </c>
      <c r="E200" s="3">
        <v>3135</v>
      </c>
      <c r="F200" s="3">
        <v>3189.3</v>
      </c>
      <c r="G200" s="3">
        <v>3193.95</v>
      </c>
      <c r="H200" s="3">
        <v>3194.6</v>
      </c>
      <c r="I200" s="3">
        <v>3191.57</v>
      </c>
      <c r="J200" s="3">
        <v>3743.9</v>
      </c>
      <c r="K200" s="3">
        <v>2142</v>
      </c>
      <c r="L200" s="1" t="s">
        <v>712</v>
      </c>
      <c r="M200" s="1" t="s">
        <v>713</v>
      </c>
      <c r="N200" s="1" t="s">
        <v>714</v>
      </c>
      <c r="O200" s="7">
        <f t="shared" si="12"/>
        <v>0.16618066660394842</v>
      </c>
      <c r="P200" s="8">
        <f t="shared" si="13"/>
        <v>79.800000000000182</v>
      </c>
      <c r="Q200" s="7">
        <f t="shared" si="14"/>
        <v>30.255062381151152</v>
      </c>
      <c r="R200" s="7">
        <f t="shared" si="15"/>
        <v>-14.671866235743479</v>
      </c>
    </row>
    <row r="201" spans="1:18" ht="14.4" customHeight="1">
      <c r="A201" s="2">
        <v>45468</v>
      </c>
      <c r="B201" s="1" t="s">
        <v>14</v>
      </c>
      <c r="C201" s="3">
        <v>3204.75</v>
      </c>
      <c r="D201" s="3">
        <v>3208.45</v>
      </c>
      <c r="E201" s="3">
        <v>3156.35</v>
      </c>
      <c r="F201" s="3">
        <v>3194.6</v>
      </c>
      <c r="G201" s="3">
        <v>3169.05</v>
      </c>
      <c r="H201" s="3">
        <v>3171.1</v>
      </c>
      <c r="I201" s="3">
        <v>3175.93</v>
      </c>
      <c r="J201" s="3">
        <v>3743.9</v>
      </c>
      <c r="K201" s="3">
        <v>2142</v>
      </c>
      <c r="L201" s="1" t="s">
        <v>710</v>
      </c>
      <c r="M201" s="1" t="s">
        <v>711</v>
      </c>
      <c r="N201" s="4">
        <v>58570</v>
      </c>
      <c r="O201" s="7">
        <f t="shared" si="12"/>
        <v>-0.73561635259500413</v>
      </c>
      <c r="P201" s="8">
        <f t="shared" si="13"/>
        <v>52.099999999999909</v>
      </c>
      <c r="Q201" s="7">
        <f t="shared" si="14"/>
        <v>28.939081441010757</v>
      </c>
      <c r="R201" s="7">
        <f t="shared" si="15"/>
        <v>-15.299553941077489</v>
      </c>
    </row>
    <row r="202" spans="1:18" ht="14.4" customHeight="1">
      <c r="A202" s="2">
        <v>45469</v>
      </c>
      <c r="B202" s="1" t="s">
        <v>14</v>
      </c>
      <c r="C202" s="3">
        <v>3169.05</v>
      </c>
      <c r="D202" s="3">
        <v>3187.7</v>
      </c>
      <c r="E202" s="3">
        <v>3163.9</v>
      </c>
      <c r="F202" s="3">
        <v>3171.1</v>
      </c>
      <c r="G202" s="3">
        <v>3169</v>
      </c>
      <c r="H202" s="3">
        <v>3170.5</v>
      </c>
      <c r="I202" s="3">
        <v>3174.21</v>
      </c>
      <c r="J202" s="3">
        <v>3743.9</v>
      </c>
      <c r="K202" s="3">
        <v>2142</v>
      </c>
      <c r="L202" s="1" t="s">
        <v>708</v>
      </c>
      <c r="M202" s="1" t="s">
        <v>709</v>
      </c>
      <c r="N202" s="4">
        <v>58917</v>
      </c>
      <c r="O202" s="7">
        <f t="shared" si="12"/>
        <v>-1.8920879190183502E-2</v>
      </c>
      <c r="P202" s="8">
        <f t="shared" si="13"/>
        <v>23.799999999999727</v>
      </c>
      <c r="Q202" s="7">
        <f t="shared" si="14"/>
        <v>36.371318974150078</v>
      </c>
      <c r="R202" s="7">
        <f t="shared" si="15"/>
        <v>-15.315580010149846</v>
      </c>
    </row>
    <row r="203" spans="1:18" ht="14.4" customHeight="1">
      <c r="A203" s="2">
        <v>45470</v>
      </c>
      <c r="B203" s="1" t="s">
        <v>14</v>
      </c>
      <c r="C203" s="3">
        <v>3177</v>
      </c>
      <c r="D203" s="3">
        <v>3202.25</v>
      </c>
      <c r="E203" s="3">
        <v>3150</v>
      </c>
      <c r="F203" s="3">
        <v>3170.5</v>
      </c>
      <c r="G203" s="3">
        <v>3175</v>
      </c>
      <c r="H203" s="3">
        <v>3175.15</v>
      </c>
      <c r="I203" s="3">
        <v>3170.85</v>
      </c>
      <c r="J203" s="3">
        <v>3743.9</v>
      </c>
      <c r="K203" s="3">
        <v>2142</v>
      </c>
      <c r="L203" s="1" t="s">
        <v>705</v>
      </c>
      <c r="M203" s="1" t="s">
        <v>706</v>
      </c>
      <c r="N203" s="1" t="s">
        <v>707</v>
      </c>
      <c r="O203" s="7">
        <f t="shared" si="12"/>
        <v>0.14666456394890681</v>
      </c>
      <c r="P203" s="8">
        <f t="shared" si="13"/>
        <v>52.25</v>
      </c>
      <c r="Q203" s="7">
        <f t="shared" si="14"/>
        <v>33.402642182183882</v>
      </c>
      <c r="R203" s="7">
        <f t="shared" si="15"/>
        <v>-15.191377974839071</v>
      </c>
    </row>
    <row r="204" spans="1:18" ht="14.4" customHeight="1">
      <c r="A204" s="2">
        <v>45471</v>
      </c>
      <c r="B204" s="1" t="s">
        <v>14</v>
      </c>
      <c r="C204" s="3">
        <v>3190</v>
      </c>
      <c r="D204" s="3">
        <v>3211.95</v>
      </c>
      <c r="E204" s="3">
        <v>3157</v>
      </c>
      <c r="F204" s="3">
        <v>3175.15</v>
      </c>
      <c r="G204" s="3">
        <v>3174</v>
      </c>
      <c r="H204" s="3">
        <v>3177.15</v>
      </c>
      <c r="I204" s="3">
        <v>3184.74</v>
      </c>
      <c r="J204" s="3">
        <v>3743.9</v>
      </c>
      <c r="K204" s="3">
        <v>2142</v>
      </c>
      <c r="L204" s="1" t="s">
        <v>703</v>
      </c>
      <c r="M204" s="1" t="s">
        <v>704</v>
      </c>
      <c r="N204" s="4">
        <v>51717</v>
      </c>
      <c r="O204" s="7">
        <f t="shared" si="12"/>
        <v>6.2989150118892015E-2</v>
      </c>
      <c r="P204" s="8">
        <f t="shared" si="13"/>
        <v>54.949999999999818</v>
      </c>
      <c r="Q204" s="7">
        <f t="shared" si="14"/>
        <v>18.580060715045342</v>
      </c>
      <c r="R204" s="7">
        <f t="shared" si="15"/>
        <v>-15.13795774459788</v>
      </c>
    </row>
    <row r="205" spans="1:18" ht="14.4" customHeight="1">
      <c r="A205" s="2">
        <v>45474</v>
      </c>
      <c r="B205" s="1" t="s">
        <v>14</v>
      </c>
      <c r="C205" s="3">
        <v>3179.95</v>
      </c>
      <c r="D205" s="3">
        <v>3193.15</v>
      </c>
      <c r="E205" s="3">
        <v>3157.55</v>
      </c>
      <c r="F205" s="3">
        <v>3177.15</v>
      </c>
      <c r="G205" s="3">
        <v>3180</v>
      </c>
      <c r="H205" s="3">
        <v>3183.8</v>
      </c>
      <c r="I205" s="3">
        <v>3175.58</v>
      </c>
      <c r="J205" s="3">
        <v>3743.9</v>
      </c>
      <c r="K205" s="3">
        <v>2142</v>
      </c>
      <c r="L205" s="1" t="s">
        <v>701</v>
      </c>
      <c r="M205" s="1" t="s">
        <v>702</v>
      </c>
      <c r="N205" s="4">
        <v>54965</v>
      </c>
      <c r="O205" s="7">
        <f t="shared" si="12"/>
        <v>0.20930708339235135</v>
      </c>
      <c r="P205" s="8">
        <f t="shared" si="13"/>
        <v>35.599999999999909</v>
      </c>
      <c r="Q205" s="7">
        <f t="shared" si="14"/>
        <v>15.13999818066042</v>
      </c>
      <c r="R205" s="7">
        <f t="shared" si="15"/>
        <v>-14.960335479045911</v>
      </c>
    </row>
    <row r="206" spans="1:18" ht="14.4" customHeight="1">
      <c r="A206" s="2">
        <v>45475</v>
      </c>
      <c r="B206" s="1" t="s">
        <v>14</v>
      </c>
      <c r="C206" s="3">
        <v>3179.85</v>
      </c>
      <c r="D206" s="3">
        <v>3207.8</v>
      </c>
      <c r="E206" s="3">
        <v>3131.05</v>
      </c>
      <c r="F206" s="3">
        <v>3183.8</v>
      </c>
      <c r="G206" s="3">
        <v>3150</v>
      </c>
      <c r="H206" s="3">
        <v>3153.2</v>
      </c>
      <c r="I206" s="3">
        <v>3169.46</v>
      </c>
      <c r="J206" s="3">
        <v>3743.9</v>
      </c>
      <c r="K206" s="3">
        <v>2142</v>
      </c>
      <c r="L206" s="1" t="s">
        <v>699</v>
      </c>
      <c r="M206" s="1" t="s">
        <v>700</v>
      </c>
      <c r="N206" s="4">
        <v>93900</v>
      </c>
      <c r="O206" s="7">
        <f t="shared" si="12"/>
        <v>-0.96111564796784854</v>
      </c>
      <c r="P206" s="8">
        <f t="shared" si="13"/>
        <v>76.75</v>
      </c>
      <c r="Q206" s="7">
        <f t="shared" si="14"/>
        <v>15.876932907348243</v>
      </c>
      <c r="R206" s="7">
        <f t="shared" si="15"/>
        <v>-15.777665001736164</v>
      </c>
    </row>
    <row r="207" spans="1:18" ht="14.4" customHeight="1">
      <c r="A207" s="2">
        <v>45476</v>
      </c>
      <c r="B207" s="1" t="s">
        <v>14</v>
      </c>
      <c r="C207" s="3">
        <v>3158</v>
      </c>
      <c r="D207" s="3">
        <v>3194.55</v>
      </c>
      <c r="E207" s="3">
        <v>3147.75</v>
      </c>
      <c r="F207" s="3">
        <v>3153.2</v>
      </c>
      <c r="G207" s="3">
        <v>3185</v>
      </c>
      <c r="H207" s="3">
        <v>3190.95</v>
      </c>
      <c r="I207" s="3">
        <v>3170.61</v>
      </c>
      <c r="J207" s="3">
        <v>3743.9</v>
      </c>
      <c r="K207" s="3">
        <v>2142</v>
      </c>
      <c r="L207" s="1" t="s">
        <v>697</v>
      </c>
      <c r="M207" s="1" t="s">
        <v>698</v>
      </c>
      <c r="N207" s="4">
        <v>56436</v>
      </c>
      <c r="O207" s="7">
        <f t="shared" si="12"/>
        <v>1.1971964987948751</v>
      </c>
      <c r="P207" s="8">
        <f t="shared" si="13"/>
        <v>46.800000000000182</v>
      </c>
      <c r="Q207" s="7">
        <f t="shared" si="14"/>
        <v>20.421752073144802</v>
      </c>
      <c r="R207" s="7">
        <f t="shared" si="15"/>
        <v>-14.769358155933659</v>
      </c>
    </row>
    <row r="208" spans="1:18" ht="14.4" customHeight="1">
      <c r="A208" s="2">
        <v>45477</v>
      </c>
      <c r="B208" s="1" t="s">
        <v>14</v>
      </c>
      <c r="C208" s="3">
        <v>3192</v>
      </c>
      <c r="D208" s="3">
        <v>3194.45</v>
      </c>
      <c r="E208" s="3">
        <v>3138.05</v>
      </c>
      <c r="F208" s="3">
        <v>3190.95</v>
      </c>
      <c r="G208" s="3">
        <v>3143.9</v>
      </c>
      <c r="H208" s="3">
        <v>3144.25</v>
      </c>
      <c r="I208" s="3">
        <v>3156.24</v>
      </c>
      <c r="J208" s="3">
        <v>3743.9</v>
      </c>
      <c r="K208" s="3">
        <v>2142</v>
      </c>
      <c r="L208" s="1" t="s">
        <v>695</v>
      </c>
      <c r="M208" s="1" t="s">
        <v>696</v>
      </c>
      <c r="N208" s="4">
        <v>72430</v>
      </c>
      <c r="O208" s="7">
        <f t="shared" si="12"/>
        <v>-1.4635140005327512</v>
      </c>
      <c r="P208" s="8">
        <f t="shared" si="13"/>
        <v>56.399999999999636</v>
      </c>
      <c r="Q208" s="7">
        <f t="shared" si="14"/>
        <v>14.571185972663262</v>
      </c>
      <c r="R208" s="7">
        <f t="shared" si="15"/>
        <v>-16.016720532065495</v>
      </c>
    </row>
    <row r="209" spans="1:18" ht="14.4" customHeight="1">
      <c r="A209" s="2">
        <v>45478</v>
      </c>
      <c r="B209" s="1" t="s">
        <v>14</v>
      </c>
      <c r="C209" s="3">
        <v>3143.9</v>
      </c>
      <c r="D209" s="3">
        <v>3158.55</v>
      </c>
      <c r="E209" s="3">
        <v>3123.95</v>
      </c>
      <c r="F209" s="3">
        <v>3144.25</v>
      </c>
      <c r="G209" s="3">
        <v>3146.15</v>
      </c>
      <c r="H209" s="3">
        <v>3147.9</v>
      </c>
      <c r="I209" s="3">
        <v>3143.96</v>
      </c>
      <c r="J209" s="3">
        <v>3743.9</v>
      </c>
      <c r="K209" s="3">
        <v>2142</v>
      </c>
      <c r="L209" s="1" t="s">
        <v>693</v>
      </c>
      <c r="M209" s="1" t="s">
        <v>694</v>
      </c>
      <c r="N209" s="4">
        <v>42349</v>
      </c>
      <c r="O209" s="7">
        <f t="shared" si="12"/>
        <v>0.11608491691182607</v>
      </c>
      <c r="P209" s="8">
        <f t="shared" si="13"/>
        <v>34.600000000000364</v>
      </c>
      <c r="Q209" s="7">
        <f t="shared" si="14"/>
        <v>15.678953458169024</v>
      </c>
      <c r="R209" s="7">
        <f t="shared" si="15"/>
        <v>-15.919228611875317</v>
      </c>
    </row>
    <row r="210" spans="1:18" ht="14.4" customHeight="1">
      <c r="A210" s="2">
        <v>45481</v>
      </c>
      <c r="B210" s="1" t="s">
        <v>14</v>
      </c>
      <c r="C210" s="3">
        <v>3147.9</v>
      </c>
      <c r="D210" s="3">
        <v>3158.2</v>
      </c>
      <c r="E210" s="3">
        <v>3075</v>
      </c>
      <c r="F210" s="3">
        <v>3147.9</v>
      </c>
      <c r="G210" s="3">
        <v>3112</v>
      </c>
      <c r="H210" s="3">
        <v>3113.6</v>
      </c>
      <c r="I210" s="3">
        <v>3104.41</v>
      </c>
      <c r="J210" s="3">
        <v>3743.9</v>
      </c>
      <c r="K210" s="3">
        <v>2142</v>
      </c>
      <c r="L210" s="1" t="s">
        <v>691</v>
      </c>
      <c r="M210" s="1" t="s">
        <v>692</v>
      </c>
      <c r="N210" s="4">
        <v>84099</v>
      </c>
      <c r="O210" s="7">
        <f t="shared" si="12"/>
        <v>-1.0896152990882868</v>
      </c>
      <c r="P210" s="8">
        <f t="shared" si="13"/>
        <v>83.199999999999818</v>
      </c>
      <c r="Q210" s="7">
        <f t="shared" si="14"/>
        <v>13.735145483299444</v>
      </c>
      <c r="R210" s="7">
        <f t="shared" si="15"/>
        <v>-16.835385560511771</v>
      </c>
    </row>
    <row r="211" spans="1:18" ht="14.4" customHeight="1">
      <c r="A211" s="2">
        <v>45482</v>
      </c>
      <c r="B211" s="1" t="s">
        <v>14</v>
      </c>
      <c r="C211" s="3">
        <v>3115.95</v>
      </c>
      <c r="D211" s="3">
        <v>3158</v>
      </c>
      <c r="E211" s="3">
        <v>3100.5</v>
      </c>
      <c r="F211" s="3">
        <v>3113.6</v>
      </c>
      <c r="G211" s="3">
        <v>3112</v>
      </c>
      <c r="H211" s="3">
        <v>3110.75</v>
      </c>
      <c r="I211" s="3">
        <v>3125.4</v>
      </c>
      <c r="J211" s="3">
        <v>3743.9</v>
      </c>
      <c r="K211" s="3">
        <v>2142</v>
      </c>
      <c r="L211" s="1" t="s">
        <v>689</v>
      </c>
      <c r="M211" s="1" t="s">
        <v>690</v>
      </c>
      <c r="N211" s="4">
        <v>57330</v>
      </c>
      <c r="O211" s="7">
        <f t="shared" si="12"/>
        <v>-9.153391572456028E-2</v>
      </c>
      <c r="P211" s="8">
        <f t="shared" si="13"/>
        <v>57.5</v>
      </c>
      <c r="Q211" s="7">
        <f t="shared" si="14"/>
        <v>16.089359846502703</v>
      </c>
      <c r="R211" s="7">
        <f t="shared" si="15"/>
        <v>-16.911509388605467</v>
      </c>
    </row>
    <row r="212" spans="1:18" ht="14.4" customHeight="1">
      <c r="A212" s="2">
        <v>45483</v>
      </c>
      <c r="B212" s="1" t="s">
        <v>14</v>
      </c>
      <c r="C212" s="3">
        <v>3120.1</v>
      </c>
      <c r="D212" s="3">
        <v>3127.25</v>
      </c>
      <c r="E212" s="3">
        <v>3063.4</v>
      </c>
      <c r="F212" s="3">
        <v>3110.75</v>
      </c>
      <c r="G212" s="3">
        <v>3093.9</v>
      </c>
      <c r="H212" s="3">
        <v>3096</v>
      </c>
      <c r="I212" s="3">
        <v>3097.88</v>
      </c>
      <c r="J212" s="3">
        <v>3743.9</v>
      </c>
      <c r="K212" s="3">
        <v>2142</v>
      </c>
      <c r="L212" s="1" t="s">
        <v>687</v>
      </c>
      <c r="M212" s="1" t="s">
        <v>688</v>
      </c>
      <c r="N212" s="4">
        <v>44240</v>
      </c>
      <c r="O212" s="7">
        <f t="shared" si="12"/>
        <v>-0.47416217953869644</v>
      </c>
      <c r="P212" s="8">
        <f t="shared" si="13"/>
        <v>63.849999999999909</v>
      </c>
      <c r="Q212" s="7">
        <f t="shared" si="14"/>
        <v>13.261980108499095</v>
      </c>
      <c r="R212" s="7">
        <f t="shared" si="15"/>
        <v>-17.30548358663426</v>
      </c>
    </row>
    <row r="213" spans="1:18" ht="14.4" customHeight="1">
      <c r="A213" s="2">
        <v>45484</v>
      </c>
      <c r="B213" s="1" t="s">
        <v>14</v>
      </c>
      <c r="C213" s="3">
        <v>3118.7</v>
      </c>
      <c r="D213" s="3">
        <v>3129.8</v>
      </c>
      <c r="E213" s="3">
        <v>3074.1</v>
      </c>
      <c r="F213" s="3">
        <v>3096</v>
      </c>
      <c r="G213" s="3">
        <v>3087</v>
      </c>
      <c r="H213" s="3">
        <v>3078.3</v>
      </c>
      <c r="I213" s="3">
        <v>3097.76</v>
      </c>
      <c r="J213" s="3">
        <v>3743.9</v>
      </c>
      <c r="K213" s="3">
        <v>2142</v>
      </c>
      <c r="L213" s="1" t="s">
        <v>685</v>
      </c>
      <c r="M213" s="1" t="s">
        <v>686</v>
      </c>
      <c r="N213" s="4">
        <v>85332</v>
      </c>
      <c r="O213" s="7">
        <f t="shared" si="12"/>
        <v>-0.57170542635658328</v>
      </c>
      <c r="P213" s="8">
        <f t="shared" si="13"/>
        <v>55.700000000000273</v>
      </c>
      <c r="Q213" s="7">
        <f t="shared" si="14"/>
        <v>10.544473351146111</v>
      </c>
      <c r="R213" s="7">
        <f t="shared" si="15"/>
        <v>-17.778252624268809</v>
      </c>
    </row>
    <row r="214" spans="1:18" ht="14.4" customHeight="1">
      <c r="A214" s="2">
        <v>45485</v>
      </c>
      <c r="B214" s="1" t="s">
        <v>14</v>
      </c>
      <c r="C214" s="3">
        <v>3090</v>
      </c>
      <c r="D214" s="3">
        <v>3098.8</v>
      </c>
      <c r="E214" s="3">
        <v>3058.35</v>
      </c>
      <c r="F214" s="3">
        <v>3078.3</v>
      </c>
      <c r="G214" s="3">
        <v>3066</v>
      </c>
      <c r="H214" s="3">
        <v>3065.45</v>
      </c>
      <c r="I214" s="3">
        <v>3075.05</v>
      </c>
      <c r="J214" s="3">
        <v>3743.9</v>
      </c>
      <c r="K214" s="3">
        <v>2142</v>
      </c>
      <c r="L214" s="1" t="s">
        <v>683</v>
      </c>
      <c r="M214" s="1" t="s">
        <v>684</v>
      </c>
      <c r="N214" s="4">
        <v>51794</v>
      </c>
      <c r="O214" s="7">
        <f t="shared" si="12"/>
        <v>-0.41743819640711954</v>
      </c>
      <c r="P214" s="8">
        <f t="shared" si="13"/>
        <v>40.450000000000273</v>
      </c>
      <c r="Q214" s="7">
        <f t="shared" si="14"/>
        <v>14.596980345213732</v>
      </c>
      <c r="R214" s="7">
        <f t="shared" si="15"/>
        <v>-18.121477603568479</v>
      </c>
    </row>
    <row r="215" spans="1:18" ht="14.4" customHeight="1">
      <c r="A215" s="2">
        <v>45488</v>
      </c>
      <c r="B215" s="1" t="s">
        <v>14</v>
      </c>
      <c r="C215" s="3">
        <v>3066.1</v>
      </c>
      <c r="D215" s="3">
        <v>3103.5</v>
      </c>
      <c r="E215" s="3">
        <v>3058.35</v>
      </c>
      <c r="F215" s="3">
        <v>3065.45</v>
      </c>
      <c r="G215" s="3">
        <v>3091</v>
      </c>
      <c r="H215" s="3">
        <v>3090.4</v>
      </c>
      <c r="I215" s="3">
        <v>3081.16</v>
      </c>
      <c r="J215" s="3">
        <v>3743.9</v>
      </c>
      <c r="K215" s="3">
        <v>2142</v>
      </c>
      <c r="L215" s="1" t="s">
        <v>681</v>
      </c>
      <c r="M215" s="1" t="s">
        <v>682</v>
      </c>
      <c r="N215" s="4">
        <v>44784</v>
      </c>
      <c r="O215" s="7">
        <f t="shared" si="12"/>
        <v>0.81390986641440166</v>
      </c>
      <c r="P215" s="8">
        <f t="shared" si="13"/>
        <v>45.150000000000091</v>
      </c>
      <c r="Q215" s="7">
        <f t="shared" si="14"/>
        <v>16.170373347624153</v>
      </c>
      <c r="R215" s="7">
        <f t="shared" si="15"/>
        <v>-17.455060231309595</v>
      </c>
    </row>
    <row r="216" spans="1:18" ht="14.4" customHeight="1">
      <c r="A216" s="2">
        <v>45489</v>
      </c>
      <c r="B216" s="1" t="s">
        <v>14</v>
      </c>
      <c r="C216" s="3">
        <v>3110</v>
      </c>
      <c r="D216" s="3">
        <v>3137.75</v>
      </c>
      <c r="E216" s="3">
        <v>3096.1</v>
      </c>
      <c r="F216" s="3">
        <v>3090.4</v>
      </c>
      <c r="G216" s="3">
        <v>3106.5</v>
      </c>
      <c r="H216" s="3">
        <v>3109.3</v>
      </c>
      <c r="I216" s="3">
        <v>3115.88</v>
      </c>
      <c r="J216" s="3">
        <v>3743.9</v>
      </c>
      <c r="K216" s="3">
        <v>2142</v>
      </c>
      <c r="L216" s="1" t="s">
        <v>679</v>
      </c>
      <c r="M216" s="1" t="s">
        <v>680</v>
      </c>
      <c r="N216" s="4">
        <v>60074</v>
      </c>
      <c r="O216" s="7">
        <f t="shared" si="12"/>
        <v>0.61157131762878891</v>
      </c>
      <c r="P216" s="8">
        <f t="shared" si="13"/>
        <v>41.650000000000091</v>
      </c>
      <c r="Q216" s="7">
        <f t="shared" si="14"/>
        <v>16.452325465259513</v>
      </c>
      <c r="R216" s="7">
        <f t="shared" si="15"/>
        <v>-16.950239055530329</v>
      </c>
    </row>
    <row r="217" spans="1:18" ht="14.4" customHeight="1">
      <c r="A217" s="2">
        <v>45491</v>
      </c>
      <c r="B217" s="1" t="s">
        <v>14</v>
      </c>
      <c r="C217" s="3">
        <v>3106</v>
      </c>
      <c r="D217" s="3">
        <v>3111</v>
      </c>
      <c r="E217" s="3">
        <v>3057.15</v>
      </c>
      <c r="F217" s="3">
        <v>3109.3</v>
      </c>
      <c r="G217" s="3">
        <v>3090</v>
      </c>
      <c r="H217" s="3">
        <v>3092.2</v>
      </c>
      <c r="I217" s="3">
        <v>3083.68</v>
      </c>
      <c r="J217" s="3">
        <v>3743.9</v>
      </c>
      <c r="K217" s="3">
        <v>2142</v>
      </c>
      <c r="L217" s="1" t="s">
        <v>677</v>
      </c>
      <c r="M217" s="1" t="s">
        <v>678</v>
      </c>
      <c r="N217" s="4">
        <v>80772</v>
      </c>
      <c r="O217" s="7">
        <f t="shared" si="12"/>
        <v>-0.54996301418326843</v>
      </c>
      <c r="P217" s="8">
        <f t="shared" si="13"/>
        <v>53.849999999999909</v>
      </c>
      <c r="Q217" s="7">
        <f t="shared" si="14"/>
        <v>12.648603476452235</v>
      </c>
      <c r="R217" s="7">
        <f t="shared" si="15"/>
        <v>-17.406982024092528</v>
      </c>
    </row>
    <row r="218" spans="1:18" ht="14.4" customHeight="1">
      <c r="A218" s="2">
        <v>45492</v>
      </c>
      <c r="B218" s="1" t="s">
        <v>14</v>
      </c>
      <c r="C218" s="3">
        <v>3092</v>
      </c>
      <c r="D218" s="3">
        <v>3094.5</v>
      </c>
      <c r="E218" s="3">
        <v>3000</v>
      </c>
      <c r="F218" s="3">
        <v>3092.2</v>
      </c>
      <c r="G218" s="3">
        <v>3007.95</v>
      </c>
      <c r="H218" s="3">
        <v>3005.7</v>
      </c>
      <c r="I218" s="3">
        <v>3033.24</v>
      </c>
      <c r="J218" s="3">
        <v>3743.9</v>
      </c>
      <c r="K218" s="3">
        <v>2142</v>
      </c>
      <c r="L218" s="1" t="s">
        <v>675</v>
      </c>
      <c r="M218" s="1" t="s">
        <v>676</v>
      </c>
      <c r="N218" s="4">
        <v>68966</v>
      </c>
      <c r="O218" s="7">
        <f t="shared" si="12"/>
        <v>-2.797361102127935</v>
      </c>
      <c r="P218" s="8">
        <f t="shared" si="13"/>
        <v>94.5</v>
      </c>
      <c r="Q218" s="7">
        <f t="shared" si="14"/>
        <v>14.890540266218137</v>
      </c>
      <c r="R218" s="7">
        <f t="shared" si="15"/>
        <v>-19.717406982024098</v>
      </c>
    </row>
    <row r="219" spans="1:18" ht="14.4" customHeight="1">
      <c r="A219" s="2">
        <v>45495</v>
      </c>
      <c r="B219" s="1" t="s">
        <v>14</v>
      </c>
      <c r="C219" s="3">
        <v>3005.7</v>
      </c>
      <c r="D219" s="3">
        <v>3026.9</v>
      </c>
      <c r="E219" s="3">
        <v>2972.15</v>
      </c>
      <c r="F219" s="3">
        <v>3005.7</v>
      </c>
      <c r="G219" s="3">
        <v>3000</v>
      </c>
      <c r="H219" s="3">
        <v>3000.85</v>
      </c>
      <c r="I219" s="3">
        <v>3002.66</v>
      </c>
      <c r="J219" s="3">
        <v>3743.9</v>
      </c>
      <c r="K219" s="3">
        <v>2142</v>
      </c>
      <c r="L219" s="1" t="s">
        <v>673</v>
      </c>
      <c r="M219" s="1" t="s">
        <v>674</v>
      </c>
      <c r="N219" s="4">
        <v>50675</v>
      </c>
      <c r="O219" s="7">
        <f t="shared" si="12"/>
        <v>-0.16136008250989484</v>
      </c>
      <c r="P219" s="8">
        <f t="shared" si="13"/>
        <v>54.75</v>
      </c>
      <c r="Q219" s="7">
        <f t="shared" si="14"/>
        <v>13.065318204242724</v>
      </c>
      <c r="R219" s="7">
        <f t="shared" si="15"/>
        <v>-19.846951040358988</v>
      </c>
    </row>
    <row r="220" spans="1:18" ht="14.4" customHeight="1">
      <c r="A220" s="2">
        <v>45496</v>
      </c>
      <c r="B220" s="1" t="s">
        <v>14</v>
      </c>
      <c r="C220" s="3">
        <v>3020</v>
      </c>
      <c r="D220" s="3">
        <v>3038</v>
      </c>
      <c r="E220" s="3">
        <v>2886.35</v>
      </c>
      <c r="F220" s="3">
        <v>3000.85</v>
      </c>
      <c r="G220" s="3">
        <v>2999.4</v>
      </c>
      <c r="H220" s="3">
        <v>2995.35</v>
      </c>
      <c r="I220" s="3">
        <v>2989.95</v>
      </c>
      <c r="J220" s="3">
        <v>3743.9</v>
      </c>
      <c r="K220" s="3">
        <v>2142</v>
      </c>
      <c r="L220" s="1" t="s">
        <v>670</v>
      </c>
      <c r="M220" s="1" t="s">
        <v>671</v>
      </c>
      <c r="N220" s="1" t="s">
        <v>672</v>
      </c>
      <c r="O220" s="7">
        <f t="shared" si="12"/>
        <v>-0.18328140360231268</v>
      </c>
      <c r="P220" s="8">
        <f t="shared" si="13"/>
        <v>151.65000000000009</v>
      </c>
      <c r="Q220" s="7">
        <f t="shared" si="14"/>
        <v>13.946439787034622</v>
      </c>
      <c r="R220" s="7">
        <f t="shared" si="15"/>
        <v>-19.993856673522266</v>
      </c>
    </row>
    <row r="221" spans="1:18" ht="14.4" customHeight="1">
      <c r="A221" s="2">
        <v>45497</v>
      </c>
      <c r="B221" s="1" t="s">
        <v>14</v>
      </c>
      <c r="C221" s="3">
        <v>2995.35</v>
      </c>
      <c r="D221" s="3">
        <v>3007.5</v>
      </c>
      <c r="E221" s="3">
        <v>2959.3</v>
      </c>
      <c r="F221" s="3">
        <v>2995.35</v>
      </c>
      <c r="G221" s="3">
        <v>2968.8</v>
      </c>
      <c r="H221" s="3">
        <v>2970.7</v>
      </c>
      <c r="I221" s="3">
        <v>2980.98</v>
      </c>
      <c r="J221" s="3">
        <v>3743.9</v>
      </c>
      <c r="K221" s="3">
        <v>2142</v>
      </c>
      <c r="L221" s="1" t="s">
        <v>668</v>
      </c>
      <c r="M221" s="1" t="s">
        <v>669</v>
      </c>
      <c r="N221" s="4">
        <v>54185</v>
      </c>
      <c r="O221" s="7">
        <f t="shared" si="12"/>
        <v>-0.82294222711870368</v>
      </c>
      <c r="P221" s="8">
        <f t="shared" si="13"/>
        <v>48.199999999999818</v>
      </c>
      <c r="Q221" s="7">
        <f t="shared" si="14"/>
        <v>12.802473009135369</v>
      </c>
      <c r="R221" s="7">
        <f t="shared" si="15"/>
        <v>-20.652261011244967</v>
      </c>
    </row>
    <row r="222" spans="1:18" ht="14.4" customHeight="1">
      <c r="A222" s="2">
        <v>45498</v>
      </c>
      <c r="B222" s="1" t="s">
        <v>14</v>
      </c>
      <c r="C222" s="3">
        <v>2960.7</v>
      </c>
      <c r="D222" s="3">
        <v>3017.65</v>
      </c>
      <c r="E222" s="3">
        <v>2945.1</v>
      </c>
      <c r="F222" s="3">
        <v>2970.7</v>
      </c>
      <c r="G222" s="3">
        <v>2995</v>
      </c>
      <c r="H222" s="3">
        <v>2973.5</v>
      </c>
      <c r="I222" s="3">
        <v>2980.02</v>
      </c>
      <c r="J222" s="3">
        <v>3743.9</v>
      </c>
      <c r="K222" s="3">
        <v>2142</v>
      </c>
      <c r="L222" s="1" t="s">
        <v>666</v>
      </c>
      <c r="M222" s="1" t="s">
        <v>667</v>
      </c>
      <c r="N222" s="4">
        <v>75405</v>
      </c>
      <c r="O222" s="7">
        <f t="shared" si="12"/>
        <v>9.4253879557012893E-2</v>
      </c>
      <c r="P222" s="8">
        <f t="shared" si="13"/>
        <v>72.550000000000182</v>
      </c>
      <c r="Q222" s="7">
        <f t="shared" si="14"/>
        <v>14.663762349976793</v>
      </c>
      <c r="R222" s="7">
        <f t="shared" si="15"/>
        <v>-20.577472688907292</v>
      </c>
    </row>
    <row r="223" spans="1:18" ht="14.4" customHeight="1">
      <c r="A223" s="2">
        <v>45499</v>
      </c>
      <c r="B223" s="1" t="s">
        <v>14</v>
      </c>
      <c r="C223" s="3">
        <v>2995</v>
      </c>
      <c r="D223" s="3">
        <v>3109</v>
      </c>
      <c r="E223" s="3">
        <v>2988.1</v>
      </c>
      <c r="F223" s="3">
        <v>2973.5</v>
      </c>
      <c r="G223" s="3">
        <v>3072.25</v>
      </c>
      <c r="H223" s="3">
        <v>3080.5</v>
      </c>
      <c r="I223" s="3">
        <v>3066.52</v>
      </c>
      <c r="J223" s="3">
        <v>3743.9</v>
      </c>
      <c r="K223" s="3">
        <v>2142</v>
      </c>
      <c r="L223" s="1" t="s">
        <v>663</v>
      </c>
      <c r="M223" s="1" t="s">
        <v>664</v>
      </c>
      <c r="N223" s="1" t="s">
        <v>665</v>
      </c>
      <c r="O223" s="7">
        <f t="shared" si="12"/>
        <v>3.5984530015133678</v>
      </c>
      <c r="P223" s="8">
        <f t="shared" si="13"/>
        <v>120.90000000000009</v>
      </c>
      <c r="Q223" s="7">
        <f t="shared" si="14"/>
        <v>17.37288029479107</v>
      </c>
      <c r="R223" s="7">
        <f t="shared" si="15"/>
        <v>-17.719490371003502</v>
      </c>
    </row>
    <row r="224" spans="1:18" ht="14.4" customHeight="1">
      <c r="A224" s="2">
        <v>45502</v>
      </c>
      <c r="B224" s="1" t="s">
        <v>14</v>
      </c>
      <c r="C224" s="3">
        <v>3094.3</v>
      </c>
      <c r="D224" s="3">
        <v>3120.35</v>
      </c>
      <c r="E224" s="3">
        <v>3074</v>
      </c>
      <c r="F224" s="3">
        <v>3080.5</v>
      </c>
      <c r="G224" s="3">
        <v>3088.4</v>
      </c>
      <c r="H224" s="3">
        <v>3089.35</v>
      </c>
      <c r="I224" s="3">
        <v>3097.85</v>
      </c>
      <c r="J224" s="3">
        <v>3743.9</v>
      </c>
      <c r="K224" s="3">
        <v>2142</v>
      </c>
      <c r="L224" s="1" t="s">
        <v>661</v>
      </c>
      <c r="M224" s="1" t="s">
        <v>662</v>
      </c>
      <c r="N224" s="4">
        <v>68832</v>
      </c>
      <c r="O224" s="7">
        <f t="shared" si="12"/>
        <v>0.28729102418438268</v>
      </c>
      <c r="P224" s="8">
        <f t="shared" si="13"/>
        <v>46.349999999999909</v>
      </c>
      <c r="Q224" s="7">
        <f t="shared" si="14"/>
        <v>15.072553463505347</v>
      </c>
      <c r="R224" s="7">
        <f t="shared" si="15"/>
        <v>-17.483105852186227</v>
      </c>
    </row>
    <row r="225" spans="1:18" ht="14.4" customHeight="1">
      <c r="A225" s="2">
        <v>45503</v>
      </c>
      <c r="B225" s="1" t="s">
        <v>14</v>
      </c>
      <c r="C225" s="3">
        <v>3092</v>
      </c>
      <c r="D225" s="3">
        <v>3155</v>
      </c>
      <c r="E225" s="3">
        <v>3066.65</v>
      </c>
      <c r="F225" s="3">
        <v>3089.35</v>
      </c>
      <c r="G225" s="3">
        <v>3133</v>
      </c>
      <c r="H225" s="3">
        <v>3128.75</v>
      </c>
      <c r="I225" s="3">
        <v>3120.89</v>
      </c>
      <c r="J225" s="3">
        <v>3743.9</v>
      </c>
      <c r="K225" s="3">
        <v>2142</v>
      </c>
      <c r="L225" s="1" t="s">
        <v>659</v>
      </c>
      <c r="M225" s="1" t="s">
        <v>660</v>
      </c>
      <c r="N225" s="4">
        <v>98232</v>
      </c>
      <c r="O225" s="7">
        <f t="shared" si="12"/>
        <v>1.2753491834852022</v>
      </c>
      <c r="P225" s="8">
        <f t="shared" si="13"/>
        <v>88.349999999999909</v>
      </c>
      <c r="Q225" s="7">
        <f t="shared" si="14"/>
        <v>16.76691913022233</v>
      </c>
      <c r="R225" s="7">
        <f t="shared" si="15"/>
        <v>-16.430727316434734</v>
      </c>
    </row>
    <row r="226" spans="1:18" ht="14.4" customHeight="1">
      <c r="A226" s="2">
        <v>45504</v>
      </c>
      <c r="B226" s="1" t="s">
        <v>14</v>
      </c>
      <c r="C226" s="3">
        <v>3141</v>
      </c>
      <c r="D226" s="3">
        <v>3197.5</v>
      </c>
      <c r="E226" s="3">
        <v>3135</v>
      </c>
      <c r="F226" s="3">
        <v>3128.75</v>
      </c>
      <c r="G226" s="3">
        <v>3168</v>
      </c>
      <c r="H226" s="3">
        <v>3169.4</v>
      </c>
      <c r="I226" s="3">
        <v>3171.25</v>
      </c>
      <c r="J226" s="3">
        <v>3743.9</v>
      </c>
      <c r="K226" s="3">
        <v>2142</v>
      </c>
      <c r="L226" s="1" t="s">
        <v>656</v>
      </c>
      <c r="M226" s="1" t="s">
        <v>657</v>
      </c>
      <c r="N226" s="1" t="s">
        <v>658</v>
      </c>
      <c r="O226" s="7">
        <f t="shared" si="12"/>
        <v>1.2992409109069145</v>
      </c>
      <c r="P226" s="8">
        <f t="shared" si="13"/>
        <v>62.5</v>
      </c>
      <c r="Q226" s="7">
        <f t="shared" si="14"/>
        <v>21.306686790587655</v>
      </c>
      <c r="R226" s="7">
        <f t="shared" si="15"/>
        <v>-15.344961136782498</v>
      </c>
    </row>
    <row r="227" spans="1:18" ht="14.4" customHeight="1">
      <c r="A227" s="2">
        <v>45505</v>
      </c>
      <c r="B227" s="1" t="s">
        <v>14</v>
      </c>
      <c r="C227" s="3">
        <v>3180</v>
      </c>
      <c r="D227" s="3">
        <v>3258</v>
      </c>
      <c r="E227" s="3">
        <v>3151.7</v>
      </c>
      <c r="F227" s="3">
        <v>3169.4</v>
      </c>
      <c r="G227" s="3">
        <v>3225.1</v>
      </c>
      <c r="H227" s="3">
        <v>3217.25</v>
      </c>
      <c r="I227" s="3">
        <v>3212.46</v>
      </c>
      <c r="J227" s="3">
        <v>3743.9</v>
      </c>
      <c r="K227" s="3">
        <v>2142</v>
      </c>
      <c r="L227" s="1" t="s">
        <v>653</v>
      </c>
      <c r="M227" s="1" t="s">
        <v>654</v>
      </c>
      <c r="N227" s="1" t="s">
        <v>655</v>
      </c>
      <c r="O227" s="7">
        <f t="shared" si="12"/>
        <v>1.5097494793967283</v>
      </c>
      <c r="P227" s="8">
        <f t="shared" si="13"/>
        <v>106.30000000000018</v>
      </c>
      <c r="Q227" s="7">
        <f t="shared" si="14"/>
        <v>26.187544711292794</v>
      </c>
      <c r="R227" s="7">
        <f t="shared" si="15"/>
        <v>-14.066882128261977</v>
      </c>
    </row>
    <row r="228" spans="1:18" ht="14.4" customHeight="1">
      <c r="A228" s="2">
        <v>45506</v>
      </c>
      <c r="B228" s="1" t="s">
        <v>14</v>
      </c>
      <c r="C228" s="3">
        <v>3200</v>
      </c>
      <c r="D228" s="3">
        <v>3215</v>
      </c>
      <c r="E228" s="3">
        <v>3111</v>
      </c>
      <c r="F228" s="3">
        <v>3217.25</v>
      </c>
      <c r="G228" s="3">
        <v>3161.4</v>
      </c>
      <c r="H228" s="3">
        <v>3160.9</v>
      </c>
      <c r="I228" s="3">
        <v>3174.06</v>
      </c>
      <c r="J228" s="3">
        <v>3743.9</v>
      </c>
      <c r="K228" s="3">
        <v>2142</v>
      </c>
      <c r="L228" s="1" t="s">
        <v>650</v>
      </c>
      <c r="M228" s="1" t="s">
        <v>651</v>
      </c>
      <c r="N228" s="1" t="s">
        <v>652</v>
      </c>
      <c r="O228" s="7">
        <f t="shared" si="12"/>
        <v>-1.7514958427228193</v>
      </c>
      <c r="P228" s="8">
        <f t="shared" si="13"/>
        <v>104</v>
      </c>
      <c r="Q228" s="7">
        <f t="shared" si="14"/>
        <v>22.412450142070089</v>
      </c>
      <c r="R228" s="7">
        <f t="shared" si="15"/>
        <v>-15.571997115307568</v>
      </c>
    </row>
    <row r="229" spans="1:18" ht="14.4" customHeight="1">
      <c r="A229" s="2">
        <v>45509</v>
      </c>
      <c r="B229" s="1" t="s">
        <v>14</v>
      </c>
      <c r="C229" s="3">
        <v>3085</v>
      </c>
      <c r="D229" s="3">
        <v>3133.05</v>
      </c>
      <c r="E229" s="3">
        <v>2996.3</v>
      </c>
      <c r="F229" s="3">
        <v>3160.9</v>
      </c>
      <c r="G229" s="3">
        <v>3024</v>
      </c>
      <c r="H229" s="3">
        <v>3038.2</v>
      </c>
      <c r="I229" s="3">
        <v>3062.45</v>
      </c>
      <c r="J229" s="3">
        <v>3743.9</v>
      </c>
      <c r="K229" s="3">
        <v>2142</v>
      </c>
      <c r="L229" s="1" t="s">
        <v>647</v>
      </c>
      <c r="M229" s="1" t="s">
        <v>648</v>
      </c>
      <c r="N229" s="1" t="s">
        <v>649</v>
      </c>
      <c r="O229" s="7">
        <f t="shared" si="12"/>
        <v>-3.8818058147995909</v>
      </c>
      <c r="P229" s="8">
        <f t="shared" si="13"/>
        <v>136.75</v>
      </c>
      <c r="Q229" s="7">
        <f t="shared" si="14"/>
        <v>16.012995372588847</v>
      </c>
      <c r="R229" s="7">
        <f t="shared" si="15"/>
        <v>-18.849328240604724</v>
      </c>
    </row>
    <row r="230" spans="1:18" ht="14.4" customHeight="1">
      <c r="A230" s="2">
        <v>45510</v>
      </c>
      <c r="B230" s="1" t="s">
        <v>14</v>
      </c>
      <c r="C230" s="3">
        <v>3084</v>
      </c>
      <c r="D230" s="3">
        <v>3142.8</v>
      </c>
      <c r="E230" s="3">
        <v>3057.25</v>
      </c>
      <c r="F230" s="3">
        <v>3038.2</v>
      </c>
      <c r="G230" s="3">
        <v>3078.25</v>
      </c>
      <c r="H230" s="3">
        <v>3072.7</v>
      </c>
      <c r="I230" s="3">
        <v>3108</v>
      </c>
      <c r="J230" s="3">
        <v>3743.9</v>
      </c>
      <c r="K230" s="3">
        <v>2142</v>
      </c>
      <c r="L230" s="1" t="s">
        <v>644</v>
      </c>
      <c r="M230" s="1" t="s">
        <v>645</v>
      </c>
      <c r="N230" s="1" t="s">
        <v>646</v>
      </c>
      <c r="O230" s="7">
        <f t="shared" si="12"/>
        <v>1.1355407807254296</v>
      </c>
      <c r="P230" s="8">
        <f t="shared" si="13"/>
        <v>85.550000000000182</v>
      </c>
      <c r="Q230" s="7">
        <f t="shared" si="14"/>
        <v>17.112634774416414</v>
      </c>
      <c r="R230" s="7">
        <f t="shared" si="15"/>
        <v>-17.927829268944155</v>
      </c>
    </row>
    <row r="231" spans="1:18" ht="14.4" customHeight="1">
      <c r="A231" s="2">
        <v>45511</v>
      </c>
      <c r="B231" s="1" t="s">
        <v>14</v>
      </c>
      <c r="C231" s="3">
        <v>3118</v>
      </c>
      <c r="D231" s="3">
        <v>3190</v>
      </c>
      <c r="E231" s="3">
        <v>3112</v>
      </c>
      <c r="F231" s="3">
        <v>3072.7</v>
      </c>
      <c r="G231" s="3">
        <v>3186.45</v>
      </c>
      <c r="H231" s="3">
        <v>3185.95</v>
      </c>
      <c r="I231" s="3">
        <v>3163.01</v>
      </c>
      <c r="J231" s="3">
        <v>3743.9</v>
      </c>
      <c r="K231" s="3">
        <v>2142</v>
      </c>
      <c r="L231" s="1" t="s">
        <v>642</v>
      </c>
      <c r="M231" s="1" t="s">
        <v>643</v>
      </c>
      <c r="N231" s="4">
        <v>74727</v>
      </c>
      <c r="O231" s="7">
        <f t="shared" si="12"/>
        <v>3.6856836007420188</v>
      </c>
      <c r="P231" s="8">
        <f t="shared" si="13"/>
        <v>78</v>
      </c>
      <c r="Q231" s="7">
        <f t="shared" si="14"/>
        <v>24.999919707736158</v>
      </c>
      <c r="R231" s="7">
        <f t="shared" si="15"/>
        <v>-14.902908731536641</v>
      </c>
    </row>
    <row r="232" spans="1:18" ht="14.4" customHeight="1">
      <c r="A232" s="2">
        <v>45512</v>
      </c>
      <c r="B232" s="1" t="s">
        <v>14</v>
      </c>
      <c r="C232" s="3">
        <v>3190.55</v>
      </c>
      <c r="D232" s="3">
        <v>3242.65</v>
      </c>
      <c r="E232" s="3">
        <v>3156.55</v>
      </c>
      <c r="F232" s="3">
        <v>3185.95</v>
      </c>
      <c r="G232" s="3">
        <v>3172.55</v>
      </c>
      <c r="H232" s="3">
        <v>3167.55</v>
      </c>
      <c r="I232" s="3">
        <v>3194.74</v>
      </c>
      <c r="J232" s="3">
        <v>3743.9</v>
      </c>
      <c r="K232" s="3">
        <v>2142</v>
      </c>
      <c r="L232" s="1" t="s">
        <v>639</v>
      </c>
      <c r="M232" s="1" t="s">
        <v>640</v>
      </c>
      <c r="N232" s="1" t="s">
        <v>641</v>
      </c>
      <c r="O232" s="7">
        <f t="shared" si="12"/>
        <v>-0.57753574287103182</v>
      </c>
      <c r="P232" s="8">
        <f t="shared" si="13"/>
        <v>86.099999999999909</v>
      </c>
      <c r="Q232" s="7">
        <f t="shared" si="14"/>
        <v>19.943098980181592</v>
      </c>
      <c r="R232" s="7">
        <f t="shared" si="15"/>
        <v>-15.394374849755598</v>
      </c>
    </row>
    <row r="233" spans="1:18" ht="14.4" customHeight="1">
      <c r="A233" s="2">
        <v>45513</v>
      </c>
      <c r="B233" s="1" t="s">
        <v>14</v>
      </c>
      <c r="C233" s="3">
        <v>3209</v>
      </c>
      <c r="D233" s="3">
        <v>3219.3</v>
      </c>
      <c r="E233" s="3">
        <v>3171.05</v>
      </c>
      <c r="F233" s="3">
        <v>3167.55</v>
      </c>
      <c r="G233" s="3">
        <v>3186.5</v>
      </c>
      <c r="H233" s="3">
        <v>3187.55</v>
      </c>
      <c r="I233" s="3">
        <v>3193.28</v>
      </c>
      <c r="J233" s="3">
        <v>3743.9</v>
      </c>
      <c r="K233" s="3">
        <v>2142</v>
      </c>
      <c r="L233" s="1" t="s">
        <v>637</v>
      </c>
      <c r="M233" s="1" t="s">
        <v>638</v>
      </c>
      <c r="N233" s="4">
        <v>43358</v>
      </c>
      <c r="O233" s="7">
        <f t="shared" si="12"/>
        <v>0.63140281921358776</v>
      </c>
      <c r="P233" s="8">
        <f t="shared" si="13"/>
        <v>48.25</v>
      </c>
      <c r="Q233" s="7">
        <f t="shared" si="14"/>
        <v>17.532289312237648</v>
      </c>
      <c r="R233" s="7">
        <f t="shared" si="15"/>
        <v>-14.860172547343675</v>
      </c>
    </row>
    <row r="234" spans="1:18" ht="14.4" customHeight="1">
      <c r="A234" s="2">
        <v>45516</v>
      </c>
      <c r="B234" s="1" t="s">
        <v>14</v>
      </c>
      <c r="C234" s="3">
        <v>3100</v>
      </c>
      <c r="D234" s="3">
        <v>3169.85</v>
      </c>
      <c r="E234" s="3">
        <v>3014</v>
      </c>
      <c r="F234" s="3">
        <v>3187.55</v>
      </c>
      <c r="G234" s="3">
        <v>3140.9</v>
      </c>
      <c r="H234" s="3">
        <v>3151.75</v>
      </c>
      <c r="I234" s="3">
        <v>3101.13</v>
      </c>
      <c r="J234" s="3">
        <v>3743.9</v>
      </c>
      <c r="K234" s="3">
        <v>2142</v>
      </c>
      <c r="L234" s="1" t="s">
        <v>634</v>
      </c>
      <c r="M234" s="1" t="s">
        <v>635</v>
      </c>
      <c r="N234" s="1" t="s">
        <v>636</v>
      </c>
      <c r="O234" s="7">
        <f t="shared" si="12"/>
        <v>-1.1231196373390278</v>
      </c>
      <c r="P234" s="8">
        <f t="shared" si="13"/>
        <v>155.84999999999991</v>
      </c>
      <c r="Q234" s="7">
        <f t="shared" si="14"/>
        <v>27.990259175981144</v>
      </c>
      <c r="R234" s="7">
        <f t="shared" si="15"/>
        <v>-15.816394668661024</v>
      </c>
    </row>
    <row r="235" spans="1:18" ht="14.4" customHeight="1">
      <c r="A235" s="2">
        <v>45517</v>
      </c>
      <c r="B235" s="1" t="s">
        <v>14</v>
      </c>
      <c r="C235" s="3">
        <v>3170.05</v>
      </c>
      <c r="D235" s="3">
        <v>3178.1</v>
      </c>
      <c r="E235" s="3">
        <v>3081.75</v>
      </c>
      <c r="F235" s="3">
        <v>3151.75</v>
      </c>
      <c r="G235" s="3">
        <v>3085.7</v>
      </c>
      <c r="H235" s="3">
        <v>3092.2</v>
      </c>
      <c r="I235" s="3">
        <v>3120.8</v>
      </c>
      <c r="J235" s="3">
        <v>3743.9</v>
      </c>
      <c r="K235" s="3">
        <v>2142</v>
      </c>
      <c r="L235" s="1" t="s">
        <v>632</v>
      </c>
      <c r="M235" s="1" t="s">
        <v>633</v>
      </c>
      <c r="N235" s="4">
        <v>89159</v>
      </c>
      <c r="O235" s="7">
        <f t="shared" si="12"/>
        <v>-1.8894265090822617</v>
      </c>
      <c r="P235" s="8">
        <f t="shared" si="13"/>
        <v>96.349999999999909</v>
      </c>
      <c r="Q235" s="7">
        <f t="shared" si="14"/>
        <v>24.591886405186241</v>
      </c>
      <c r="R235" s="7">
        <f t="shared" si="15"/>
        <v>-17.406982024092528</v>
      </c>
    </row>
    <row r="236" spans="1:18" ht="14.4" customHeight="1">
      <c r="A236" s="2">
        <v>45518</v>
      </c>
      <c r="B236" s="1" t="s">
        <v>14</v>
      </c>
      <c r="C236" s="3">
        <v>3085.7</v>
      </c>
      <c r="D236" s="3">
        <v>3085.7</v>
      </c>
      <c r="E236" s="3">
        <v>3027.75</v>
      </c>
      <c r="F236" s="3">
        <v>3092.2</v>
      </c>
      <c r="G236" s="3">
        <v>3036.25</v>
      </c>
      <c r="H236" s="3">
        <v>3040.1</v>
      </c>
      <c r="I236" s="3">
        <v>3051.52</v>
      </c>
      <c r="J236" s="3">
        <v>3743.9</v>
      </c>
      <c r="K236" s="3">
        <v>2142</v>
      </c>
      <c r="L236" s="1" t="s">
        <v>630</v>
      </c>
      <c r="M236" s="1" t="s">
        <v>631</v>
      </c>
      <c r="N236" s="4">
        <v>70048</v>
      </c>
      <c r="O236" s="7">
        <f t="shared" si="12"/>
        <v>-1.6848845482180943</v>
      </c>
      <c r="P236" s="8">
        <f t="shared" si="13"/>
        <v>57.949999999999818</v>
      </c>
      <c r="Q236" s="7">
        <f t="shared" si="14"/>
        <v>17.59340737779808</v>
      </c>
      <c r="R236" s="7">
        <f t="shared" si="15"/>
        <v>-18.798579021875589</v>
      </c>
    </row>
    <row r="237" spans="1:18" ht="14.4" customHeight="1">
      <c r="A237" s="2">
        <v>45520</v>
      </c>
      <c r="B237" s="1" t="s">
        <v>14</v>
      </c>
      <c r="C237" s="3">
        <v>3070</v>
      </c>
      <c r="D237" s="3">
        <v>3121.6</v>
      </c>
      <c r="E237" s="3">
        <v>3039.35</v>
      </c>
      <c r="F237" s="3">
        <v>3040.1</v>
      </c>
      <c r="G237" s="3">
        <v>3109</v>
      </c>
      <c r="H237" s="3">
        <v>3108.8</v>
      </c>
      <c r="I237" s="3">
        <v>3079.35</v>
      </c>
      <c r="J237" s="3">
        <v>3743.9</v>
      </c>
      <c r="K237" s="3">
        <v>2142</v>
      </c>
      <c r="L237" s="1" t="s">
        <v>628</v>
      </c>
      <c r="M237" s="1" t="s">
        <v>629</v>
      </c>
      <c r="N237" s="4">
        <v>54922</v>
      </c>
      <c r="O237" s="7">
        <f t="shared" si="12"/>
        <v>2.2597940857208734</v>
      </c>
      <c r="P237" s="8">
        <f t="shared" si="13"/>
        <v>82.25</v>
      </c>
      <c r="Q237" s="7">
        <f t="shared" si="14"/>
        <v>17.662630639816467</v>
      </c>
      <c r="R237" s="7">
        <f t="shared" si="15"/>
        <v>-16.963594113090625</v>
      </c>
    </row>
    <row r="238" spans="1:18" ht="14.4" customHeight="1">
      <c r="A238" s="2">
        <v>45523</v>
      </c>
      <c r="B238" s="1" t="s">
        <v>14</v>
      </c>
      <c r="C238" s="3">
        <v>3122.05</v>
      </c>
      <c r="D238" s="3">
        <v>3134.3</v>
      </c>
      <c r="E238" s="3">
        <v>3092.95</v>
      </c>
      <c r="F238" s="3">
        <v>3108.8</v>
      </c>
      <c r="G238" s="3">
        <v>3107</v>
      </c>
      <c r="H238" s="3">
        <v>3102.55</v>
      </c>
      <c r="I238" s="3">
        <v>3113.97</v>
      </c>
      <c r="J238" s="3">
        <v>3743.9</v>
      </c>
      <c r="K238" s="3">
        <v>2142</v>
      </c>
      <c r="L238" s="1" t="s">
        <v>626</v>
      </c>
      <c r="M238" s="1" t="s">
        <v>627</v>
      </c>
      <c r="N238" s="4">
        <v>35313</v>
      </c>
      <c r="O238" s="7">
        <f t="shared" si="12"/>
        <v>-0.20104220277920742</v>
      </c>
      <c r="P238" s="8">
        <f t="shared" si="13"/>
        <v>41.350000000000364</v>
      </c>
      <c r="Q238" s="7">
        <f t="shared" si="14"/>
        <v>15.780732308215105</v>
      </c>
      <c r="R238" s="7">
        <f t="shared" si="15"/>
        <v>-17.130532332594349</v>
      </c>
    </row>
    <row r="239" spans="1:18" ht="14.4" customHeight="1">
      <c r="A239" s="2">
        <v>45524</v>
      </c>
      <c r="B239" s="1" t="s">
        <v>14</v>
      </c>
      <c r="C239" s="3">
        <v>3118.95</v>
      </c>
      <c r="D239" s="3">
        <v>3126</v>
      </c>
      <c r="E239" s="3">
        <v>3058.85</v>
      </c>
      <c r="F239" s="3">
        <v>3102.55</v>
      </c>
      <c r="G239" s="3">
        <v>3071</v>
      </c>
      <c r="H239" s="3">
        <v>3070.65</v>
      </c>
      <c r="I239" s="3">
        <v>3084.66</v>
      </c>
      <c r="J239" s="3">
        <v>3743.9</v>
      </c>
      <c r="K239" s="3">
        <v>2142</v>
      </c>
      <c r="L239" s="1" t="s">
        <v>624</v>
      </c>
      <c r="M239" s="1" t="s">
        <v>625</v>
      </c>
      <c r="N239" s="4">
        <v>42615</v>
      </c>
      <c r="O239" s="7">
        <f t="shared" si="12"/>
        <v>-1.0281864917567836</v>
      </c>
      <c r="P239" s="8">
        <f t="shared" si="13"/>
        <v>67.150000000000091</v>
      </c>
      <c r="Q239" s="7">
        <f t="shared" si="14"/>
        <v>15.540607767218116</v>
      </c>
      <c r="R239" s="7">
        <f t="shared" si="15"/>
        <v>-17.98258500494137</v>
      </c>
    </row>
    <row r="240" spans="1:18" ht="14.4" customHeight="1">
      <c r="A240" s="2">
        <v>45525</v>
      </c>
      <c r="B240" s="1" t="s">
        <v>14</v>
      </c>
      <c r="C240" s="3">
        <v>3070.65</v>
      </c>
      <c r="D240" s="3">
        <v>3153.3</v>
      </c>
      <c r="E240" s="3">
        <v>3068.4</v>
      </c>
      <c r="F240" s="3">
        <v>3070.65</v>
      </c>
      <c r="G240" s="3">
        <v>3117</v>
      </c>
      <c r="H240" s="3">
        <v>3115.7</v>
      </c>
      <c r="I240" s="3">
        <v>3110.53</v>
      </c>
      <c r="J240" s="3">
        <v>3743.9</v>
      </c>
      <c r="K240" s="3">
        <v>2142</v>
      </c>
      <c r="L240" s="1" t="s">
        <v>622</v>
      </c>
      <c r="M240" s="1" t="s">
        <v>623</v>
      </c>
      <c r="N240" s="4">
        <v>56394</v>
      </c>
      <c r="O240" s="7">
        <f t="shared" si="12"/>
        <v>1.4671160829140322</v>
      </c>
      <c r="P240" s="8">
        <f t="shared" si="13"/>
        <v>84.900000000000091</v>
      </c>
      <c r="Q240" s="7">
        <f t="shared" si="14"/>
        <v>24.457211760116323</v>
      </c>
      <c r="R240" s="7">
        <f t="shared" si="15"/>
        <v>-16.77929431875852</v>
      </c>
    </row>
    <row r="241" spans="1:18" ht="14.4" customHeight="1">
      <c r="A241" s="2">
        <v>45526</v>
      </c>
      <c r="B241" s="1" t="s">
        <v>14</v>
      </c>
      <c r="C241" s="3">
        <v>3130.75</v>
      </c>
      <c r="D241" s="3">
        <v>3150</v>
      </c>
      <c r="E241" s="3">
        <v>3091</v>
      </c>
      <c r="F241" s="3">
        <v>3115.7</v>
      </c>
      <c r="G241" s="3">
        <v>3099.55</v>
      </c>
      <c r="H241" s="3">
        <v>3099.05</v>
      </c>
      <c r="I241" s="3">
        <v>3122.8</v>
      </c>
      <c r="J241" s="3">
        <v>3743.9</v>
      </c>
      <c r="K241" s="3">
        <v>2142</v>
      </c>
      <c r="L241" s="1" t="s">
        <v>620</v>
      </c>
      <c r="M241" s="1" t="s">
        <v>621</v>
      </c>
      <c r="N241" s="4">
        <v>53089</v>
      </c>
      <c r="O241" s="7">
        <f t="shared" si="12"/>
        <v>-0.53439034566869847</v>
      </c>
      <c r="P241" s="8">
        <f t="shared" si="13"/>
        <v>59</v>
      </c>
      <c r="Q241" s="7">
        <f t="shared" si="14"/>
        <v>25.973591516133286</v>
      </c>
      <c r="R241" s="7">
        <f t="shared" si="15"/>
        <v>-17.224017735516437</v>
      </c>
    </row>
    <row r="242" spans="1:18" ht="14.4" customHeight="1">
      <c r="A242" s="2">
        <v>45527</v>
      </c>
      <c r="B242" s="1" t="s">
        <v>14</v>
      </c>
      <c r="C242" s="3">
        <v>3101</v>
      </c>
      <c r="D242" s="3">
        <v>3123</v>
      </c>
      <c r="E242" s="3">
        <v>3067.6</v>
      </c>
      <c r="F242" s="3">
        <v>3099.05</v>
      </c>
      <c r="G242" s="3">
        <v>3079.45</v>
      </c>
      <c r="H242" s="3">
        <v>3076.35</v>
      </c>
      <c r="I242" s="3">
        <v>3088.57</v>
      </c>
      <c r="J242" s="3">
        <v>3743.9</v>
      </c>
      <c r="K242" s="3">
        <v>2142</v>
      </c>
      <c r="L242" s="1" t="s">
        <v>618</v>
      </c>
      <c r="M242" s="1" t="s">
        <v>619</v>
      </c>
      <c r="N242" s="4">
        <v>61780</v>
      </c>
      <c r="O242" s="7">
        <f t="shared" si="12"/>
        <v>-0.73248253497040283</v>
      </c>
      <c r="P242" s="8">
        <f t="shared" si="13"/>
        <v>55.400000000000091</v>
      </c>
      <c r="Q242" s="7">
        <f t="shared" si="14"/>
        <v>22.260019423761737</v>
      </c>
      <c r="R242" s="7">
        <f t="shared" si="15"/>
        <v>-17.830337348753979</v>
      </c>
    </row>
    <row r="243" spans="1:18" ht="14.4" customHeight="1">
      <c r="A243" s="2">
        <v>45530</v>
      </c>
      <c r="B243" s="1" t="s">
        <v>14</v>
      </c>
      <c r="C243" s="3">
        <v>3088</v>
      </c>
      <c r="D243" s="3">
        <v>3090</v>
      </c>
      <c r="E243" s="3">
        <v>3055</v>
      </c>
      <c r="F243" s="3">
        <v>3076.35</v>
      </c>
      <c r="G243" s="3">
        <v>3069.8</v>
      </c>
      <c r="H243" s="3">
        <v>3069</v>
      </c>
      <c r="I243" s="3">
        <v>3069.89</v>
      </c>
      <c r="J243" s="3">
        <v>3743.9</v>
      </c>
      <c r="K243" s="3">
        <v>2142</v>
      </c>
      <c r="L243" s="1" t="s">
        <v>616</v>
      </c>
      <c r="M243" s="1" t="s">
        <v>617</v>
      </c>
      <c r="N243" s="4">
        <v>73150</v>
      </c>
      <c r="O243" s="7">
        <f t="shared" si="12"/>
        <v>-0.23891949875664048</v>
      </c>
      <c r="P243" s="8">
        <f t="shared" si="13"/>
        <v>35</v>
      </c>
      <c r="Q243" s="7">
        <f t="shared" si="14"/>
        <v>22.316418318523581</v>
      </c>
      <c r="R243" s="7">
        <f t="shared" si="15"/>
        <v>-18.026656694890356</v>
      </c>
    </row>
    <row r="244" spans="1:18" ht="14.4" customHeight="1">
      <c r="A244" s="2">
        <v>45531</v>
      </c>
      <c r="B244" s="1" t="s">
        <v>14</v>
      </c>
      <c r="C244" s="3">
        <v>3072.2</v>
      </c>
      <c r="D244" s="3">
        <v>3095.75</v>
      </c>
      <c r="E244" s="3">
        <v>3064</v>
      </c>
      <c r="F244" s="3">
        <v>3069</v>
      </c>
      <c r="G244" s="3">
        <v>3067</v>
      </c>
      <c r="H244" s="3">
        <v>3067.1</v>
      </c>
      <c r="I244" s="3">
        <v>3078.59</v>
      </c>
      <c r="J244" s="3">
        <v>3743.9</v>
      </c>
      <c r="K244" s="3">
        <v>2142</v>
      </c>
      <c r="L244" s="1" t="s">
        <v>614</v>
      </c>
      <c r="M244" s="1" t="s">
        <v>615</v>
      </c>
      <c r="N244" s="4">
        <v>43632</v>
      </c>
      <c r="O244" s="7">
        <f t="shared" si="12"/>
        <v>-6.1909416748129387E-2</v>
      </c>
      <c r="P244" s="8">
        <f t="shared" si="13"/>
        <v>31.75</v>
      </c>
      <c r="Q244" s="7">
        <f t="shared" si="14"/>
        <v>30.033920058672535</v>
      </c>
      <c r="R244" s="7">
        <f t="shared" si="15"/>
        <v>-18.077405913619494</v>
      </c>
    </row>
    <row r="245" spans="1:18" ht="14.4" customHeight="1">
      <c r="A245" s="2">
        <v>45532</v>
      </c>
      <c r="B245" s="1" t="s">
        <v>14</v>
      </c>
      <c r="C245" s="3">
        <v>3078</v>
      </c>
      <c r="D245" s="3">
        <v>3078</v>
      </c>
      <c r="E245" s="3">
        <v>3022.1</v>
      </c>
      <c r="F245" s="3">
        <v>3067.1</v>
      </c>
      <c r="G245" s="3">
        <v>3028</v>
      </c>
      <c r="H245" s="3">
        <v>3028</v>
      </c>
      <c r="I245" s="3">
        <v>3041.32</v>
      </c>
      <c r="J245" s="3">
        <v>3743.9</v>
      </c>
      <c r="K245" s="3">
        <v>2142</v>
      </c>
      <c r="L245" s="1" t="s">
        <v>612</v>
      </c>
      <c r="M245" s="1" t="s">
        <v>613</v>
      </c>
      <c r="N245" s="4">
        <v>62349</v>
      </c>
      <c r="O245" s="7">
        <f t="shared" si="12"/>
        <v>-1.2748198624107434</v>
      </c>
      <c r="P245" s="8">
        <f t="shared" si="13"/>
        <v>55.900000000000091</v>
      </c>
      <c r="Q245" s="7">
        <f t="shared" si="14"/>
        <v>25.175255417087683</v>
      </c>
      <c r="R245" s="7">
        <f t="shared" si="15"/>
        <v>-19.1217714148348</v>
      </c>
    </row>
    <row r="246" spans="1:18" ht="14.4" customHeight="1">
      <c r="A246" s="2">
        <v>45533</v>
      </c>
      <c r="B246" s="1" t="s">
        <v>14</v>
      </c>
      <c r="C246" s="3">
        <v>3030</v>
      </c>
      <c r="D246" s="3">
        <v>3041.95</v>
      </c>
      <c r="E246" s="3">
        <v>2981.3</v>
      </c>
      <c r="F246" s="3">
        <v>3028</v>
      </c>
      <c r="G246" s="3">
        <v>3022</v>
      </c>
      <c r="H246" s="3">
        <v>3020.15</v>
      </c>
      <c r="I246" s="3">
        <v>3007.33</v>
      </c>
      <c r="J246" s="3">
        <v>3743.9</v>
      </c>
      <c r="K246" s="3">
        <v>2142</v>
      </c>
      <c r="L246" s="1" t="s">
        <v>609</v>
      </c>
      <c r="M246" s="1" t="s">
        <v>610</v>
      </c>
      <c r="N246" s="1" t="s">
        <v>611</v>
      </c>
      <c r="O246" s="7">
        <f t="shared" si="12"/>
        <v>-0.25924702774108022</v>
      </c>
      <c r="P246" s="8">
        <f t="shared" si="13"/>
        <v>60.649999999999636</v>
      </c>
      <c r="Q246" s="7">
        <f t="shared" si="14"/>
        <v>18.365372613894145</v>
      </c>
      <c r="R246" s="7">
        <f t="shared" si="15"/>
        <v>-19.331445818531478</v>
      </c>
    </row>
    <row r="247" spans="1:18" ht="14.4" customHeight="1">
      <c r="A247" s="2">
        <v>45534</v>
      </c>
      <c r="B247" s="1" t="s">
        <v>14</v>
      </c>
      <c r="C247" s="3">
        <v>3030</v>
      </c>
      <c r="D247" s="3">
        <v>3038.55</v>
      </c>
      <c r="E247" s="3">
        <v>3003.3</v>
      </c>
      <c r="F247" s="3">
        <v>3020.15</v>
      </c>
      <c r="G247" s="3">
        <v>3033</v>
      </c>
      <c r="H247" s="3">
        <v>3019.35</v>
      </c>
      <c r="I247" s="3">
        <v>3019.69</v>
      </c>
      <c r="J247" s="3">
        <v>3743.9</v>
      </c>
      <c r="K247" s="3">
        <v>2142</v>
      </c>
      <c r="L247" s="1" t="s">
        <v>607</v>
      </c>
      <c r="M247" s="1" t="s">
        <v>608</v>
      </c>
      <c r="N247" s="4">
        <v>77468</v>
      </c>
      <c r="O247" s="7">
        <f t="shared" si="12"/>
        <v>-2.6488750558753105E-2</v>
      </c>
      <c r="P247" s="8">
        <f t="shared" si="13"/>
        <v>35.25</v>
      </c>
      <c r="Q247" s="7">
        <f t="shared" si="14"/>
        <v>45.298368358548046</v>
      </c>
      <c r="R247" s="7">
        <f t="shared" si="15"/>
        <v>-19.352813910627958</v>
      </c>
    </row>
    <row r="248" spans="1:18" ht="14.4" customHeight="1">
      <c r="A248" s="2">
        <v>45537</v>
      </c>
      <c r="B248" s="1" t="s">
        <v>14</v>
      </c>
      <c r="C248" s="3">
        <v>3021.1</v>
      </c>
      <c r="D248" s="3">
        <v>3059.15</v>
      </c>
      <c r="E248" s="3">
        <v>2997.6</v>
      </c>
      <c r="F248" s="3">
        <v>3019.35</v>
      </c>
      <c r="G248" s="3">
        <v>3039</v>
      </c>
      <c r="H248" s="3">
        <v>3042.15</v>
      </c>
      <c r="I248" s="3">
        <v>3025.26</v>
      </c>
      <c r="J248" s="3">
        <v>3743.9</v>
      </c>
      <c r="K248" s="3">
        <v>2142</v>
      </c>
      <c r="L248" s="1" t="s">
        <v>605</v>
      </c>
      <c r="M248" s="1" t="s">
        <v>606</v>
      </c>
      <c r="N248" s="4">
        <v>73749</v>
      </c>
      <c r="O248" s="7">
        <f t="shared" si="12"/>
        <v>0.7551294152715049</v>
      </c>
      <c r="P248" s="8">
        <f t="shared" si="13"/>
        <v>61.550000000000182</v>
      </c>
      <c r="Q248" s="7">
        <f t="shared" si="14"/>
        <v>24.985532007213656</v>
      </c>
      <c r="R248" s="7">
        <f t="shared" si="15"/>
        <v>-18.74382328587836</v>
      </c>
    </row>
    <row r="249" spans="1:18" ht="14.4" customHeight="1">
      <c r="A249" s="2">
        <v>45538</v>
      </c>
      <c r="B249" s="1" t="s">
        <v>14</v>
      </c>
      <c r="C249" s="3">
        <v>3037</v>
      </c>
      <c r="D249" s="3">
        <v>3053.05</v>
      </c>
      <c r="E249" s="3">
        <v>3023.8</v>
      </c>
      <c r="F249" s="3">
        <v>3042.15</v>
      </c>
      <c r="G249" s="3">
        <v>3035.95</v>
      </c>
      <c r="H249" s="3">
        <v>3036.1</v>
      </c>
      <c r="I249" s="3">
        <v>3036.89</v>
      </c>
      <c r="J249" s="3">
        <v>3743.9</v>
      </c>
      <c r="K249" s="3">
        <v>2142</v>
      </c>
      <c r="L249" s="1" t="s">
        <v>603</v>
      </c>
      <c r="M249" s="1" t="s">
        <v>604</v>
      </c>
      <c r="N249" s="4">
        <v>43530</v>
      </c>
      <c r="O249" s="7">
        <f t="shared" si="12"/>
        <v>-0.19887250793025266</v>
      </c>
      <c r="P249" s="8">
        <f t="shared" si="13"/>
        <v>29.25</v>
      </c>
      <c r="Q249" s="7">
        <f t="shared" si="14"/>
        <v>31.508775557087066</v>
      </c>
      <c r="R249" s="7">
        <f t="shared" si="15"/>
        <v>-18.905419482357974</v>
      </c>
    </row>
    <row r="250" spans="1:18" ht="14.4" customHeight="1">
      <c r="A250" s="2">
        <v>45539</v>
      </c>
      <c r="B250" s="1" t="s">
        <v>14</v>
      </c>
      <c r="C250" s="3">
        <v>3010</v>
      </c>
      <c r="D250" s="3">
        <v>3025</v>
      </c>
      <c r="E250" s="3">
        <v>2955.2</v>
      </c>
      <c r="F250" s="3">
        <v>3036.1</v>
      </c>
      <c r="G250" s="3">
        <v>3013.5</v>
      </c>
      <c r="H250" s="3">
        <v>3012.35</v>
      </c>
      <c r="I250" s="3">
        <v>3005.91</v>
      </c>
      <c r="J250" s="3">
        <v>3743.9</v>
      </c>
      <c r="K250" s="3">
        <v>2142</v>
      </c>
      <c r="L250" s="1" t="s">
        <v>601</v>
      </c>
      <c r="M250" s="1" t="s">
        <v>602</v>
      </c>
      <c r="N250" s="4">
        <v>51072</v>
      </c>
      <c r="O250" s="7">
        <f t="shared" si="12"/>
        <v>-0.78225354896083799</v>
      </c>
      <c r="P250" s="8">
        <f t="shared" si="13"/>
        <v>69.800000000000182</v>
      </c>
      <c r="Q250" s="7">
        <f t="shared" si="14"/>
        <v>23.736489661654137</v>
      </c>
      <c r="R250" s="7">
        <f t="shared" si="15"/>
        <v>-19.539784716472134</v>
      </c>
    </row>
    <row r="251" spans="1:18" ht="14.4" customHeight="1">
      <c r="A251" s="2">
        <v>45540</v>
      </c>
      <c r="B251" s="1" t="s">
        <v>14</v>
      </c>
      <c r="C251" s="3">
        <v>3025</v>
      </c>
      <c r="D251" s="3">
        <v>3037.9</v>
      </c>
      <c r="E251" s="3">
        <v>3002</v>
      </c>
      <c r="F251" s="3">
        <v>3012.35</v>
      </c>
      <c r="G251" s="3">
        <v>3012</v>
      </c>
      <c r="H251" s="3">
        <v>3015.35</v>
      </c>
      <c r="I251" s="3">
        <v>3015.88</v>
      </c>
      <c r="J251" s="3">
        <v>3743.9</v>
      </c>
      <c r="K251" s="3">
        <v>2142</v>
      </c>
      <c r="L251" s="1" t="s">
        <v>599</v>
      </c>
      <c r="M251" s="1" t="s">
        <v>600</v>
      </c>
      <c r="N251" s="4">
        <v>45054</v>
      </c>
      <c r="O251" s="7">
        <f t="shared" si="12"/>
        <v>9.9590021079887805E-2</v>
      </c>
      <c r="P251" s="8">
        <f t="shared" si="13"/>
        <v>35.900000000000091</v>
      </c>
      <c r="Q251" s="7">
        <f t="shared" si="14"/>
        <v>16.297620633018155</v>
      </c>
      <c r="R251" s="7">
        <f t="shared" si="15"/>
        <v>-19.459654371110343</v>
      </c>
    </row>
    <row r="252" spans="1:18" ht="14.4" customHeight="1">
      <c r="A252" s="2">
        <v>45541</v>
      </c>
      <c r="B252" s="1" t="s">
        <v>14</v>
      </c>
      <c r="C252" s="3">
        <v>3019</v>
      </c>
      <c r="D252" s="3">
        <v>3025</v>
      </c>
      <c r="E252" s="3">
        <v>2968</v>
      </c>
      <c r="F252" s="3">
        <v>3015.35</v>
      </c>
      <c r="G252" s="3">
        <v>2972.1</v>
      </c>
      <c r="H252" s="3">
        <v>2975.45</v>
      </c>
      <c r="I252" s="3">
        <v>2990.04</v>
      </c>
      <c r="J252" s="3">
        <v>3743.9</v>
      </c>
      <c r="K252" s="3">
        <v>2142</v>
      </c>
      <c r="L252" s="1" t="s">
        <v>597</v>
      </c>
      <c r="M252" s="1" t="s">
        <v>598</v>
      </c>
      <c r="N252" s="4">
        <v>75683</v>
      </c>
      <c r="O252" s="7">
        <f t="shared" si="12"/>
        <v>-1.3232294758485779</v>
      </c>
      <c r="P252" s="8">
        <f t="shared" si="13"/>
        <v>57</v>
      </c>
      <c r="Q252" s="7">
        <f t="shared" si="14"/>
        <v>16.531651757990566</v>
      </c>
      <c r="R252" s="7">
        <f t="shared" si="15"/>
        <v>-20.525387964422134</v>
      </c>
    </row>
    <row r="253" spans="1:18" ht="14.4" customHeight="1">
      <c r="A253" s="2">
        <v>45544</v>
      </c>
      <c r="B253" s="1" t="s">
        <v>14</v>
      </c>
      <c r="C253" s="3">
        <v>2972.1</v>
      </c>
      <c r="D253" s="3">
        <v>2972.5</v>
      </c>
      <c r="E253" s="3">
        <v>2927.3</v>
      </c>
      <c r="F253" s="3">
        <v>2975.45</v>
      </c>
      <c r="G253" s="3">
        <v>2968</v>
      </c>
      <c r="H253" s="3">
        <v>2964.15</v>
      </c>
      <c r="I253" s="3">
        <v>2953.73</v>
      </c>
      <c r="J253" s="3">
        <v>3743.9</v>
      </c>
      <c r="K253" s="3">
        <v>2142</v>
      </c>
      <c r="L253" s="1" t="s">
        <v>595</v>
      </c>
      <c r="M253" s="1" t="s">
        <v>596</v>
      </c>
      <c r="N253" s="4">
        <v>75178</v>
      </c>
      <c r="O253" s="7">
        <f t="shared" si="12"/>
        <v>-0.37977448789257856</v>
      </c>
      <c r="P253" s="8">
        <f t="shared" si="13"/>
        <v>45.199999999999818</v>
      </c>
      <c r="Q253" s="7">
        <f t="shared" si="14"/>
        <v>20.266314613317725</v>
      </c>
      <c r="R253" s="7">
        <f t="shared" si="15"/>
        <v>-20.827212265284864</v>
      </c>
    </row>
    <row r="254" spans="1:18" ht="14.4" customHeight="1">
      <c r="A254" s="2">
        <v>45545</v>
      </c>
      <c r="B254" s="1" t="s">
        <v>14</v>
      </c>
      <c r="C254" s="3">
        <v>2971.6</v>
      </c>
      <c r="D254" s="3">
        <v>3007.4</v>
      </c>
      <c r="E254" s="3">
        <v>2947.6</v>
      </c>
      <c r="F254" s="3">
        <v>2964.15</v>
      </c>
      <c r="G254" s="3">
        <v>2986</v>
      </c>
      <c r="H254" s="3">
        <v>2986.4</v>
      </c>
      <c r="I254" s="3">
        <v>2975.72</v>
      </c>
      <c r="J254" s="3">
        <v>3743.9</v>
      </c>
      <c r="K254" s="3">
        <v>2142</v>
      </c>
      <c r="L254" s="1" t="s">
        <v>593</v>
      </c>
      <c r="M254" s="1" t="s">
        <v>594</v>
      </c>
      <c r="N254" s="4">
        <v>55050</v>
      </c>
      <c r="O254" s="7">
        <f t="shared" si="12"/>
        <v>0.75063677614155822</v>
      </c>
      <c r="P254" s="8">
        <f t="shared" si="13"/>
        <v>59.800000000000182</v>
      </c>
      <c r="Q254" s="7">
        <f t="shared" si="14"/>
        <v>14.60094459582198</v>
      </c>
      <c r="R254" s="7">
        <f t="shared" si="15"/>
        <v>-20.232912203851598</v>
      </c>
    </row>
    <row r="255" spans="1:18" ht="14.4" customHeight="1">
      <c r="A255" s="2">
        <v>45546</v>
      </c>
      <c r="B255" s="1" t="s">
        <v>14</v>
      </c>
      <c r="C255" s="3">
        <v>2985</v>
      </c>
      <c r="D255" s="3">
        <v>2992.95</v>
      </c>
      <c r="E255" s="3">
        <v>2928</v>
      </c>
      <c r="F255" s="3">
        <v>2986.4</v>
      </c>
      <c r="G255" s="3">
        <v>2940</v>
      </c>
      <c r="H255" s="3">
        <v>2937.85</v>
      </c>
      <c r="I255" s="3">
        <v>2958.05</v>
      </c>
      <c r="J255" s="3">
        <v>3743.9</v>
      </c>
      <c r="K255" s="3">
        <v>2142</v>
      </c>
      <c r="L255" s="1" t="s">
        <v>591</v>
      </c>
      <c r="M255" s="1" t="s">
        <v>592</v>
      </c>
      <c r="N255" s="4">
        <v>54027</v>
      </c>
      <c r="O255" s="7">
        <f t="shared" si="12"/>
        <v>-1.6257031877846297</v>
      </c>
      <c r="P255" s="8">
        <f t="shared" si="13"/>
        <v>64.949999999999818</v>
      </c>
      <c r="Q255" s="7">
        <f t="shared" si="14"/>
        <v>16.447850148999574</v>
      </c>
      <c r="R255" s="7">
        <f t="shared" si="15"/>
        <v>-21.529688292956546</v>
      </c>
    </row>
    <row r="256" spans="1:18" ht="14.4" customHeight="1">
      <c r="A256" s="2">
        <v>45547</v>
      </c>
      <c r="B256" s="1" t="s">
        <v>14</v>
      </c>
      <c r="C256" s="3">
        <v>2950</v>
      </c>
      <c r="D256" s="3">
        <v>3000</v>
      </c>
      <c r="E256" s="3">
        <v>2917.15</v>
      </c>
      <c r="F256" s="3">
        <v>2937.85</v>
      </c>
      <c r="G256" s="3">
        <v>2980.9</v>
      </c>
      <c r="H256" s="3">
        <v>2991</v>
      </c>
      <c r="I256" s="3">
        <v>2962.52</v>
      </c>
      <c r="J256" s="3">
        <v>3743.9</v>
      </c>
      <c r="K256" s="3">
        <v>2142</v>
      </c>
      <c r="L256" s="1" t="s">
        <v>589</v>
      </c>
      <c r="M256" s="1" t="s">
        <v>590</v>
      </c>
      <c r="N256" s="4">
        <v>89512</v>
      </c>
      <c r="O256" s="7">
        <f t="shared" si="12"/>
        <v>1.8091461442891941</v>
      </c>
      <c r="P256" s="8">
        <f t="shared" si="13"/>
        <v>82.849999999999909</v>
      </c>
      <c r="Q256" s="7">
        <f t="shared" si="14"/>
        <v>14.68152873357762</v>
      </c>
      <c r="R256" s="7">
        <f t="shared" si="15"/>
        <v>-20.11004567429686</v>
      </c>
    </row>
    <row r="257" spans="1:18" ht="14.4" customHeight="1">
      <c r="A257" s="2">
        <v>45548</v>
      </c>
      <c r="B257" s="1" t="s">
        <v>14</v>
      </c>
      <c r="C257" s="3">
        <v>2972</v>
      </c>
      <c r="D257" s="3">
        <v>3001.95</v>
      </c>
      <c r="E257" s="3">
        <v>2956.05</v>
      </c>
      <c r="F257" s="3">
        <v>2991</v>
      </c>
      <c r="G257" s="3">
        <v>2965.35</v>
      </c>
      <c r="H257" s="3">
        <v>2968.35</v>
      </c>
      <c r="I257" s="3">
        <v>2974.23</v>
      </c>
      <c r="J257" s="3">
        <v>3743.9</v>
      </c>
      <c r="K257" s="3">
        <v>2142</v>
      </c>
      <c r="L257" s="1" t="s">
        <v>587</v>
      </c>
      <c r="M257" s="1" t="s">
        <v>588</v>
      </c>
      <c r="N257" s="4">
        <v>46440</v>
      </c>
      <c r="O257" s="7">
        <f t="shared" si="12"/>
        <v>-0.75727181544634203</v>
      </c>
      <c r="P257" s="8">
        <f t="shared" si="13"/>
        <v>45.899999999999636</v>
      </c>
      <c r="Q257" s="7">
        <f t="shared" si="14"/>
        <v>17.569939707149011</v>
      </c>
      <c r="R257" s="7">
        <f t="shared" si="15"/>
        <v>-20.715029781778362</v>
      </c>
    </row>
    <row r="258" spans="1:18" ht="14.4" customHeight="1">
      <c r="A258" s="2">
        <v>45551</v>
      </c>
      <c r="B258" s="1" t="s">
        <v>14</v>
      </c>
      <c r="C258" s="3">
        <v>2972</v>
      </c>
      <c r="D258" s="3">
        <v>3026.4</v>
      </c>
      <c r="E258" s="3">
        <v>2972</v>
      </c>
      <c r="F258" s="3">
        <v>2968.35</v>
      </c>
      <c r="G258" s="3">
        <v>2982</v>
      </c>
      <c r="H258" s="3">
        <v>2984.9</v>
      </c>
      <c r="I258" s="3">
        <v>3000.63</v>
      </c>
      <c r="J258" s="3">
        <v>3743.9</v>
      </c>
      <c r="K258" s="3">
        <v>2142</v>
      </c>
      <c r="L258" s="1" t="s">
        <v>585</v>
      </c>
      <c r="M258" s="1" t="s">
        <v>586</v>
      </c>
      <c r="N258" s="4">
        <v>44149</v>
      </c>
      <c r="O258" s="7">
        <f t="shared" ref="O258:O321" si="16">((H258-F258)/F258)*100</f>
        <v>0.5575488065760501</v>
      </c>
      <c r="P258" s="8">
        <f t="shared" ref="P258:P321" si="17">(D258-E258)</f>
        <v>54.400000000000091</v>
      </c>
      <c r="Q258" s="7">
        <f t="shared" ref="Q258:Q321" si="18">IF(N258=0,0,L258/N258)</f>
        <v>15.745815307254977</v>
      </c>
      <c r="R258" s="7">
        <f t="shared" ref="R258:R321" si="19">((H258-J258)/J258)*100</f>
        <v>-20.272977376532491</v>
      </c>
    </row>
    <row r="259" spans="1:18" ht="14.4" customHeight="1">
      <c r="A259" s="2">
        <v>45552</v>
      </c>
      <c r="B259" s="1" t="s">
        <v>14</v>
      </c>
      <c r="C259" s="3">
        <v>2990.05</v>
      </c>
      <c r="D259" s="3">
        <v>2995.9</v>
      </c>
      <c r="E259" s="3">
        <v>2952.5</v>
      </c>
      <c r="F259" s="3">
        <v>2984.9</v>
      </c>
      <c r="G259" s="3">
        <v>2975</v>
      </c>
      <c r="H259" s="3">
        <v>2975.2</v>
      </c>
      <c r="I259" s="3">
        <v>2971.05</v>
      </c>
      <c r="J259" s="3">
        <v>3743.9</v>
      </c>
      <c r="K259" s="3">
        <v>2142</v>
      </c>
      <c r="L259" s="1" t="s">
        <v>583</v>
      </c>
      <c r="M259" s="1" t="s">
        <v>584</v>
      </c>
      <c r="N259" s="4">
        <v>44150</v>
      </c>
      <c r="O259" s="7">
        <f t="shared" si="16"/>
        <v>-0.32496901068713435</v>
      </c>
      <c r="P259" s="8">
        <f t="shared" si="17"/>
        <v>43.400000000000091</v>
      </c>
      <c r="Q259" s="7">
        <f t="shared" si="18"/>
        <v>15.82559456398641</v>
      </c>
      <c r="R259" s="7">
        <f t="shared" si="19"/>
        <v>-20.532065493202282</v>
      </c>
    </row>
    <row r="260" spans="1:18" ht="14.4" customHeight="1">
      <c r="A260" s="2">
        <v>45553</v>
      </c>
      <c r="B260" s="1" t="s">
        <v>14</v>
      </c>
      <c r="C260" s="3">
        <v>2976</v>
      </c>
      <c r="D260" s="3">
        <v>2984.75</v>
      </c>
      <c r="E260" s="3">
        <v>2935</v>
      </c>
      <c r="F260" s="3">
        <v>2975.2</v>
      </c>
      <c r="G260" s="3">
        <v>2957</v>
      </c>
      <c r="H260" s="3">
        <v>2956.3</v>
      </c>
      <c r="I260" s="3">
        <v>2959.83</v>
      </c>
      <c r="J260" s="3">
        <v>3743.9</v>
      </c>
      <c r="K260" s="3">
        <v>2142</v>
      </c>
      <c r="L260" s="1" t="s">
        <v>581</v>
      </c>
      <c r="M260" s="1" t="s">
        <v>582</v>
      </c>
      <c r="N260" s="4">
        <v>37955</v>
      </c>
      <c r="O260" s="7">
        <f t="shared" si="16"/>
        <v>-0.63525141166979149</v>
      </c>
      <c r="P260" s="8">
        <f t="shared" si="17"/>
        <v>49.75</v>
      </c>
      <c r="Q260" s="7">
        <f t="shared" si="18"/>
        <v>21.91782373863786</v>
      </c>
      <c r="R260" s="7">
        <f t="shared" si="19"/>
        <v>-21.036886668981541</v>
      </c>
    </row>
    <row r="261" spans="1:18" ht="14.4" customHeight="1">
      <c r="A261" s="2">
        <v>45554</v>
      </c>
      <c r="B261" s="1" t="s">
        <v>14</v>
      </c>
      <c r="C261" s="3">
        <v>2975.05</v>
      </c>
      <c r="D261" s="3">
        <v>2975.25</v>
      </c>
      <c r="E261" s="3">
        <v>2890.35</v>
      </c>
      <c r="F261" s="3">
        <v>2956.3</v>
      </c>
      <c r="G261" s="3">
        <v>2941</v>
      </c>
      <c r="H261" s="3">
        <v>2943.15</v>
      </c>
      <c r="I261" s="3">
        <v>2930.13</v>
      </c>
      <c r="J261" s="3">
        <v>3743.9</v>
      </c>
      <c r="K261" s="3">
        <v>2142</v>
      </c>
      <c r="L261" s="1" t="s">
        <v>579</v>
      </c>
      <c r="M261" s="1" t="s">
        <v>580</v>
      </c>
      <c r="N261" s="4">
        <v>79202</v>
      </c>
      <c r="O261" s="7">
        <f t="shared" si="16"/>
        <v>-0.44481277272266312</v>
      </c>
      <c r="P261" s="8">
        <f t="shared" si="17"/>
        <v>84.900000000000091</v>
      </c>
      <c r="Q261" s="7">
        <f t="shared" si="18"/>
        <v>20.900999974748114</v>
      </c>
      <c r="R261" s="7">
        <f t="shared" si="19"/>
        <v>-21.388124682817384</v>
      </c>
    </row>
    <row r="262" spans="1:18" ht="14.4" customHeight="1">
      <c r="A262" s="2">
        <v>45555</v>
      </c>
      <c r="B262" s="1" t="s">
        <v>14</v>
      </c>
      <c r="C262" s="3">
        <v>2948.15</v>
      </c>
      <c r="D262" s="3">
        <v>3025</v>
      </c>
      <c r="E262" s="3">
        <v>2942.05</v>
      </c>
      <c r="F262" s="3">
        <v>2943.15</v>
      </c>
      <c r="G262" s="3">
        <v>3005.8</v>
      </c>
      <c r="H262" s="3">
        <v>3008.5</v>
      </c>
      <c r="I262" s="3">
        <v>3000.83</v>
      </c>
      <c r="J262" s="3">
        <v>3743.9</v>
      </c>
      <c r="K262" s="3">
        <v>2142</v>
      </c>
      <c r="L262" s="1" t="s">
        <v>577</v>
      </c>
      <c r="M262" s="1" t="s">
        <v>578</v>
      </c>
      <c r="N262" s="4">
        <v>76536</v>
      </c>
      <c r="O262" s="7">
        <f t="shared" si="16"/>
        <v>2.2204101048196629</v>
      </c>
      <c r="P262" s="8">
        <f t="shared" si="17"/>
        <v>82.949999999999818</v>
      </c>
      <c r="Q262" s="7">
        <f t="shared" si="18"/>
        <v>23.351233406501514</v>
      </c>
      <c r="R262" s="7">
        <f t="shared" si="19"/>
        <v>-19.642618659686427</v>
      </c>
    </row>
    <row r="263" spans="1:18" ht="14.4" customHeight="1">
      <c r="A263" s="2">
        <v>45558</v>
      </c>
      <c r="B263" s="1" t="s">
        <v>14</v>
      </c>
      <c r="C263" s="3">
        <v>3020</v>
      </c>
      <c r="D263" s="3">
        <v>3070</v>
      </c>
      <c r="E263" s="3">
        <v>3015.25</v>
      </c>
      <c r="F263" s="3">
        <v>3008.5</v>
      </c>
      <c r="G263" s="3">
        <v>3035</v>
      </c>
      <c r="H263" s="3">
        <v>3043.95</v>
      </c>
      <c r="I263" s="3">
        <v>3046.7</v>
      </c>
      <c r="J263" s="3">
        <v>3743.9</v>
      </c>
      <c r="K263" s="3">
        <v>2142</v>
      </c>
      <c r="L263" s="1" t="s">
        <v>575</v>
      </c>
      <c r="M263" s="1" t="s">
        <v>576</v>
      </c>
      <c r="N263" s="4">
        <v>66944</v>
      </c>
      <c r="O263" s="7">
        <f t="shared" si="16"/>
        <v>1.1783280704670041</v>
      </c>
      <c r="P263" s="8">
        <f t="shared" si="17"/>
        <v>54.75</v>
      </c>
      <c r="Q263" s="7">
        <f t="shared" si="18"/>
        <v>13.403949569789676</v>
      </c>
      <c r="R263" s="7">
        <f t="shared" si="19"/>
        <v>-18.695745078661297</v>
      </c>
    </row>
    <row r="264" spans="1:18" ht="14.4" customHeight="1">
      <c r="A264" s="2">
        <v>45559</v>
      </c>
      <c r="B264" s="1" t="s">
        <v>14</v>
      </c>
      <c r="C264" s="3">
        <v>3055</v>
      </c>
      <c r="D264" s="3">
        <v>3101</v>
      </c>
      <c r="E264" s="3">
        <v>3040.25</v>
      </c>
      <c r="F264" s="3">
        <v>3043.95</v>
      </c>
      <c r="G264" s="3">
        <v>3100.45</v>
      </c>
      <c r="H264" s="3">
        <v>3093.9</v>
      </c>
      <c r="I264" s="3">
        <v>3072.82</v>
      </c>
      <c r="J264" s="3">
        <v>3743.9</v>
      </c>
      <c r="K264" s="3">
        <v>2142</v>
      </c>
      <c r="L264" s="1" t="s">
        <v>573</v>
      </c>
      <c r="M264" s="1" t="s">
        <v>574</v>
      </c>
      <c r="N264" s="4">
        <v>53383</v>
      </c>
      <c r="O264" s="7">
        <f t="shared" si="16"/>
        <v>1.6409599369240715</v>
      </c>
      <c r="P264" s="8">
        <f t="shared" si="17"/>
        <v>60.75</v>
      </c>
      <c r="Q264" s="7">
        <f t="shared" si="18"/>
        <v>19.14313545510743</v>
      </c>
      <c r="R264" s="7">
        <f t="shared" si="19"/>
        <v>-17.361574828387511</v>
      </c>
    </row>
    <row r="265" spans="1:18" ht="14.4" customHeight="1">
      <c r="A265" s="2">
        <v>45560</v>
      </c>
      <c r="B265" s="1" t="s">
        <v>14</v>
      </c>
      <c r="C265" s="3">
        <v>3108</v>
      </c>
      <c r="D265" s="3">
        <v>3123.9</v>
      </c>
      <c r="E265" s="3">
        <v>3080.2</v>
      </c>
      <c r="F265" s="3">
        <v>3093.9</v>
      </c>
      <c r="G265" s="3">
        <v>3101.05</v>
      </c>
      <c r="H265" s="3">
        <v>3105.1</v>
      </c>
      <c r="I265" s="3">
        <v>3100.01</v>
      </c>
      <c r="J265" s="3">
        <v>3743.9</v>
      </c>
      <c r="K265" s="3">
        <v>2142</v>
      </c>
      <c r="L265" s="1" t="s">
        <v>571</v>
      </c>
      <c r="M265" s="1" t="s">
        <v>572</v>
      </c>
      <c r="N265" s="4">
        <v>57019</v>
      </c>
      <c r="O265" s="7">
        <f t="shared" si="16"/>
        <v>0.3620026503765415</v>
      </c>
      <c r="P265" s="8">
        <f t="shared" si="17"/>
        <v>43.700000000000273</v>
      </c>
      <c r="Q265" s="7">
        <f t="shared" si="18"/>
        <v>16.01234676160578</v>
      </c>
      <c r="R265" s="7">
        <f t="shared" si="19"/>
        <v>-17.062421539036837</v>
      </c>
    </row>
    <row r="266" spans="1:18" ht="14.4" customHeight="1">
      <c r="A266" s="2">
        <v>45561</v>
      </c>
      <c r="B266" s="1" t="s">
        <v>14</v>
      </c>
      <c r="C266" s="3">
        <v>3085</v>
      </c>
      <c r="D266" s="3">
        <v>3148</v>
      </c>
      <c r="E266" s="3">
        <v>3085</v>
      </c>
      <c r="F266" s="3">
        <v>3105.1</v>
      </c>
      <c r="G266" s="3">
        <v>3115</v>
      </c>
      <c r="H266" s="3">
        <v>3122.65</v>
      </c>
      <c r="I266" s="3">
        <v>3117.31</v>
      </c>
      <c r="J266" s="3">
        <v>3743.9</v>
      </c>
      <c r="K266" s="3">
        <v>2142</v>
      </c>
      <c r="L266" s="1" t="s">
        <v>569</v>
      </c>
      <c r="M266" s="1" t="s">
        <v>570</v>
      </c>
      <c r="N266" s="4">
        <v>83624</v>
      </c>
      <c r="O266" s="7">
        <f t="shared" si="16"/>
        <v>0.5651991884319405</v>
      </c>
      <c r="P266" s="8">
        <f t="shared" si="17"/>
        <v>63</v>
      </c>
      <c r="Q266" s="7">
        <f t="shared" si="18"/>
        <v>18.511659332249113</v>
      </c>
      <c r="R266" s="7">
        <f t="shared" si="19"/>
        <v>-16.593659018670369</v>
      </c>
    </row>
    <row r="267" spans="1:18" ht="14.4" customHeight="1">
      <c r="A267" s="2">
        <v>45562</v>
      </c>
      <c r="B267" s="1" t="s">
        <v>14</v>
      </c>
      <c r="C267" s="3">
        <v>3122</v>
      </c>
      <c r="D267" s="3">
        <v>3179</v>
      </c>
      <c r="E267" s="3">
        <v>3116</v>
      </c>
      <c r="F267" s="3">
        <v>3122.65</v>
      </c>
      <c r="G267" s="3">
        <v>3137.65</v>
      </c>
      <c r="H267" s="3">
        <v>3130.3</v>
      </c>
      <c r="I267" s="3">
        <v>3134.82</v>
      </c>
      <c r="J267" s="3">
        <v>3743.9</v>
      </c>
      <c r="K267" s="3">
        <v>2142</v>
      </c>
      <c r="L267" s="1" t="s">
        <v>567</v>
      </c>
      <c r="M267" s="1" t="s">
        <v>568</v>
      </c>
      <c r="N267" s="4">
        <v>83714</v>
      </c>
      <c r="O267" s="7">
        <f t="shared" si="16"/>
        <v>0.24498422813956383</v>
      </c>
      <c r="P267" s="8">
        <f t="shared" si="17"/>
        <v>63</v>
      </c>
      <c r="Q267" s="7">
        <f t="shared" si="18"/>
        <v>27.443928136273502</v>
      </c>
      <c r="R267" s="7">
        <f t="shared" si="19"/>
        <v>-16.389326637997804</v>
      </c>
    </row>
    <row r="268" spans="1:18" ht="14.4" customHeight="1">
      <c r="A268" s="2">
        <v>45565</v>
      </c>
      <c r="B268" s="1" t="s">
        <v>14</v>
      </c>
      <c r="C268" s="3">
        <v>3129</v>
      </c>
      <c r="D268" s="3">
        <v>3209.9</v>
      </c>
      <c r="E268" s="3">
        <v>3120.4</v>
      </c>
      <c r="F268" s="3">
        <v>3130.3</v>
      </c>
      <c r="G268" s="3">
        <v>3131</v>
      </c>
      <c r="H268" s="3">
        <v>3135.85</v>
      </c>
      <c r="I268" s="3">
        <v>3158.97</v>
      </c>
      <c r="J268" s="3">
        <v>3743.9</v>
      </c>
      <c r="K268" s="3">
        <v>2142</v>
      </c>
      <c r="L268" s="1" t="s">
        <v>565</v>
      </c>
      <c r="M268" s="1" t="s">
        <v>566</v>
      </c>
      <c r="N268" s="4">
        <v>92240</v>
      </c>
      <c r="O268" s="7">
        <f t="shared" si="16"/>
        <v>0.17729930038653569</v>
      </c>
      <c r="P268" s="8">
        <f t="shared" si="17"/>
        <v>89.5</v>
      </c>
      <c r="Q268" s="7">
        <f t="shared" si="18"/>
        <v>17.426593668690373</v>
      </c>
      <c r="R268" s="7">
        <f t="shared" si="19"/>
        <v>-16.241085499078505</v>
      </c>
    </row>
    <row r="269" spans="1:18" ht="14.4" customHeight="1">
      <c r="A269" s="2">
        <v>45566</v>
      </c>
      <c r="B269" s="1" t="s">
        <v>14</v>
      </c>
      <c r="C269" s="3">
        <v>3136.3</v>
      </c>
      <c r="D269" s="3">
        <v>3192</v>
      </c>
      <c r="E269" s="3">
        <v>3107</v>
      </c>
      <c r="F269" s="3">
        <v>3135.85</v>
      </c>
      <c r="G269" s="3">
        <v>3183</v>
      </c>
      <c r="H269" s="3">
        <v>3186.1</v>
      </c>
      <c r="I269" s="3">
        <v>3156.94</v>
      </c>
      <c r="J269" s="3">
        <v>3743.9</v>
      </c>
      <c r="K269" s="3">
        <v>2142</v>
      </c>
      <c r="L269" s="1" t="s">
        <v>563</v>
      </c>
      <c r="M269" s="1" t="s">
        <v>564</v>
      </c>
      <c r="N269" s="4">
        <v>66641</v>
      </c>
      <c r="O269" s="7">
        <f t="shared" si="16"/>
        <v>1.6024363410239648</v>
      </c>
      <c r="P269" s="8">
        <f t="shared" si="17"/>
        <v>85</v>
      </c>
      <c r="Q269" s="7">
        <f t="shared" si="18"/>
        <v>20.514638135682237</v>
      </c>
      <c r="R269" s="7">
        <f t="shared" si="19"/>
        <v>-14.898902214268547</v>
      </c>
    </row>
    <row r="270" spans="1:18" ht="14.4" customHeight="1">
      <c r="A270" s="2">
        <v>45568</v>
      </c>
      <c r="B270" s="1" t="s">
        <v>14</v>
      </c>
      <c r="C270" s="3">
        <v>3150</v>
      </c>
      <c r="D270" s="3">
        <v>3196.35</v>
      </c>
      <c r="E270" s="3">
        <v>3084.1</v>
      </c>
      <c r="F270" s="3">
        <v>3186.1</v>
      </c>
      <c r="G270" s="3">
        <v>3116.7</v>
      </c>
      <c r="H270" s="3">
        <v>3116</v>
      </c>
      <c r="I270" s="3">
        <v>3130.54</v>
      </c>
      <c r="J270" s="3">
        <v>3743.9</v>
      </c>
      <c r="K270" s="3">
        <v>2142</v>
      </c>
      <c r="L270" s="1" t="s">
        <v>561</v>
      </c>
      <c r="M270" s="1" t="s">
        <v>562</v>
      </c>
      <c r="N270" s="4">
        <v>83884</v>
      </c>
      <c r="O270" s="7">
        <f t="shared" si="16"/>
        <v>-2.2001820407394592</v>
      </c>
      <c r="P270" s="8">
        <f t="shared" si="17"/>
        <v>112.25</v>
      </c>
      <c r="Q270" s="7">
        <f t="shared" si="18"/>
        <v>15.613263554432312</v>
      </c>
      <c r="R270" s="7">
        <f t="shared" si="19"/>
        <v>-16.771281284222336</v>
      </c>
    </row>
    <row r="271" spans="1:18" ht="14.4" customHeight="1">
      <c r="A271" s="2">
        <v>45569</v>
      </c>
      <c r="B271" s="1" t="s">
        <v>14</v>
      </c>
      <c r="C271" s="3">
        <v>3119.9</v>
      </c>
      <c r="D271" s="3">
        <v>3149.5</v>
      </c>
      <c r="E271" s="3">
        <v>3070</v>
      </c>
      <c r="F271" s="3">
        <v>3116</v>
      </c>
      <c r="G271" s="3">
        <v>3110</v>
      </c>
      <c r="H271" s="3">
        <v>3110.65</v>
      </c>
      <c r="I271" s="3">
        <v>3110.13</v>
      </c>
      <c r="J271" s="3">
        <v>3743.9</v>
      </c>
      <c r="K271" s="3">
        <v>2142</v>
      </c>
      <c r="L271" s="1" t="s">
        <v>559</v>
      </c>
      <c r="M271" s="1" t="s">
        <v>560</v>
      </c>
      <c r="N271" s="4">
        <v>58703</v>
      </c>
      <c r="O271" s="7">
        <f t="shared" si="16"/>
        <v>-0.17169448010269284</v>
      </c>
      <c r="P271" s="8">
        <f t="shared" si="17"/>
        <v>79.5</v>
      </c>
      <c r="Q271" s="7">
        <f t="shared" si="18"/>
        <v>16.823382109943275</v>
      </c>
      <c r="R271" s="7">
        <f t="shared" si="19"/>
        <v>-16.914180400117523</v>
      </c>
    </row>
    <row r="272" spans="1:18" ht="14.4" customHeight="1">
      <c r="A272" s="2">
        <v>45572</v>
      </c>
      <c r="B272" s="1" t="s">
        <v>14</v>
      </c>
      <c r="C272" s="3">
        <v>3110.65</v>
      </c>
      <c r="D272" s="3">
        <v>3128.5</v>
      </c>
      <c r="E272" s="3">
        <v>2980.45</v>
      </c>
      <c r="F272" s="3">
        <v>3110.65</v>
      </c>
      <c r="G272" s="3">
        <v>3011</v>
      </c>
      <c r="H272" s="3">
        <v>3018</v>
      </c>
      <c r="I272" s="3">
        <v>3029.34</v>
      </c>
      <c r="J272" s="3">
        <v>3743.9</v>
      </c>
      <c r="K272" s="3">
        <v>2142</v>
      </c>
      <c r="L272" s="1" t="s">
        <v>557</v>
      </c>
      <c r="M272" s="1" t="s">
        <v>558</v>
      </c>
      <c r="N272" s="4">
        <v>99490</v>
      </c>
      <c r="O272" s="7">
        <f t="shared" si="16"/>
        <v>-2.9784771671515631</v>
      </c>
      <c r="P272" s="8">
        <f t="shared" si="17"/>
        <v>148.05000000000018</v>
      </c>
      <c r="Q272" s="7">
        <f t="shared" si="18"/>
        <v>17.523911950949845</v>
      </c>
      <c r="R272" s="7">
        <f t="shared" si="19"/>
        <v>-19.388872566040764</v>
      </c>
    </row>
    <row r="273" spans="1:18" ht="14.4" customHeight="1">
      <c r="A273" s="2">
        <v>45573</v>
      </c>
      <c r="B273" s="1" t="s">
        <v>14</v>
      </c>
      <c r="C273" s="3">
        <v>3018.5</v>
      </c>
      <c r="D273" s="3">
        <v>3170</v>
      </c>
      <c r="E273" s="3">
        <v>2994.85</v>
      </c>
      <c r="F273" s="3">
        <v>3018</v>
      </c>
      <c r="G273" s="3">
        <v>3166.95</v>
      </c>
      <c r="H273" s="3">
        <v>3160.7</v>
      </c>
      <c r="I273" s="3">
        <v>3110.96</v>
      </c>
      <c r="J273" s="3">
        <v>3743.9</v>
      </c>
      <c r="K273" s="3">
        <v>2142</v>
      </c>
      <c r="L273" s="1" t="s">
        <v>555</v>
      </c>
      <c r="M273" s="1" t="s">
        <v>556</v>
      </c>
      <c r="N273" s="4">
        <v>98514</v>
      </c>
      <c r="O273" s="7">
        <f t="shared" si="16"/>
        <v>4.7282968853545331</v>
      </c>
      <c r="P273" s="8">
        <f t="shared" si="17"/>
        <v>175.15000000000009</v>
      </c>
      <c r="Q273" s="7">
        <f t="shared" si="18"/>
        <v>18.033081592464015</v>
      </c>
      <c r="R273" s="7">
        <f t="shared" si="19"/>
        <v>-15.577339138331695</v>
      </c>
    </row>
    <row r="274" spans="1:18" ht="14.4" customHeight="1">
      <c r="A274" s="2">
        <v>45574</v>
      </c>
      <c r="B274" s="1" t="s">
        <v>14</v>
      </c>
      <c r="C274" s="3">
        <v>3175</v>
      </c>
      <c r="D274" s="3">
        <v>3179.95</v>
      </c>
      <c r="E274" s="3">
        <v>3134.4</v>
      </c>
      <c r="F274" s="3">
        <v>3160.7</v>
      </c>
      <c r="G274" s="3">
        <v>3152.4</v>
      </c>
      <c r="H274" s="3">
        <v>3153.75</v>
      </c>
      <c r="I274" s="3">
        <v>3155.44</v>
      </c>
      <c r="J274" s="3">
        <v>3743.9</v>
      </c>
      <c r="K274" s="3">
        <v>2142</v>
      </c>
      <c r="L274" s="1" t="s">
        <v>553</v>
      </c>
      <c r="M274" s="1" t="s">
        <v>554</v>
      </c>
      <c r="N274" s="4">
        <v>60904</v>
      </c>
      <c r="O274" s="7">
        <f t="shared" si="16"/>
        <v>-0.21988799949377727</v>
      </c>
      <c r="P274" s="8">
        <f t="shared" si="17"/>
        <v>45.549999999999727</v>
      </c>
      <c r="Q274" s="7">
        <f t="shared" si="18"/>
        <v>14.733597136477078</v>
      </c>
      <c r="R274" s="7">
        <f t="shared" si="19"/>
        <v>-15.762974438419834</v>
      </c>
    </row>
    <row r="275" spans="1:18" ht="14.4" customHeight="1">
      <c r="A275" s="2">
        <v>45575</v>
      </c>
      <c r="B275" s="1" t="s">
        <v>14</v>
      </c>
      <c r="C275" s="3">
        <v>3140</v>
      </c>
      <c r="D275" s="3">
        <v>3211</v>
      </c>
      <c r="E275" s="3">
        <v>3056.1</v>
      </c>
      <c r="F275" s="3">
        <v>3153.75</v>
      </c>
      <c r="G275" s="3">
        <v>3194.8</v>
      </c>
      <c r="H275" s="3">
        <v>3174.2</v>
      </c>
      <c r="I275" s="3">
        <v>3120.45</v>
      </c>
      <c r="J275" s="3">
        <v>3743.9</v>
      </c>
      <c r="K275" s="3">
        <v>2142</v>
      </c>
      <c r="L275" s="1" t="s">
        <v>550</v>
      </c>
      <c r="M275" s="1" t="s">
        <v>551</v>
      </c>
      <c r="N275" s="1" t="s">
        <v>552</v>
      </c>
      <c r="O275" s="7">
        <f t="shared" si="16"/>
        <v>0.64843440348790549</v>
      </c>
      <c r="P275" s="8">
        <f t="shared" si="17"/>
        <v>154.90000000000009</v>
      </c>
      <c r="Q275" s="7">
        <f t="shared" si="18"/>
        <v>19.21064288358809</v>
      </c>
      <c r="R275" s="7">
        <f t="shared" si="19"/>
        <v>-15.216752584203643</v>
      </c>
    </row>
    <row r="276" spans="1:18" ht="14.4" customHeight="1">
      <c r="A276" s="2">
        <v>45576</v>
      </c>
      <c r="B276" s="1" t="s">
        <v>14</v>
      </c>
      <c r="C276" s="3">
        <v>3174.2</v>
      </c>
      <c r="D276" s="3">
        <v>3190</v>
      </c>
      <c r="E276" s="3">
        <v>3116</v>
      </c>
      <c r="F276" s="3">
        <v>3174.2</v>
      </c>
      <c r="G276" s="3">
        <v>3129.95</v>
      </c>
      <c r="H276" s="3">
        <v>3137.2</v>
      </c>
      <c r="I276" s="3">
        <v>3149.22</v>
      </c>
      <c r="J276" s="3">
        <v>3743.9</v>
      </c>
      <c r="K276" s="3">
        <v>2142</v>
      </c>
      <c r="L276" s="1" t="s">
        <v>548</v>
      </c>
      <c r="M276" s="1" t="s">
        <v>549</v>
      </c>
      <c r="N276" s="4">
        <v>72560</v>
      </c>
      <c r="O276" s="7">
        <f t="shared" si="16"/>
        <v>-1.1656480373007372</v>
      </c>
      <c r="P276" s="8">
        <f t="shared" si="17"/>
        <v>74</v>
      </c>
      <c r="Q276" s="7">
        <f t="shared" si="18"/>
        <v>14.267640573318634</v>
      </c>
      <c r="R276" s="7">
        <f t="shared" si="19"/>
        <v>-16.205026843665703</v>
      </c>
    </row>
    <row r="277" spans="1:18" ht="14.4" customHeight="1">
      <c r="A277" s="2">
        <v>45579</v>
      </c>
      <c r="B277" s="1" t="s">
        <v>14</v>
      </c>
      <c r="C277" s="3">
        <v>3145</v>
      </c>
      <c r="D277" s="3">
        <v>3150.1</v>
      </c>
      <c r="E277" s="3">
        <v>3092.85</v>
      </c>
      <c r="F277" s="3">
        <v>3137.2</v>
      </c>
      <c r="G277" s="3">
        <v>3098.85</v>
      </c>
      <c r="H277" s="3">
        <v>3101.1</v>
      </c>
      <c r="I277" s="3">
        <v>3120.61</v>
      </c>
      <c r="J277" s="3">
        <v>3743.9</v>
      </c>
      <c r="K277" s="3">
        <v>2142</v>
      </c>
      <c r="L277" s="1" t="s">
        <v>546</v>
      </c>
      <c r="M277" s="1" t="s">
        <v>547</v>
      </c>
      <c r="N277" s="4">
        <v>34403</v>
      </c>
      <c r="O277" s="7">
        <f t="shared" si="16"/>
        <v>-1.1507076373836513</v>
      </c>
      <c r="P277" s="8">
        <f t="shared" si="17"/>
        <v>57.25</v>
      </c>
      <c r="Q277" s="7">
        <f t="shared" si="18"/>
        <v>12.723541551608871</v>
      </c>
      <c r="R277" s="7">
        <f t="shared" si="19"/>
        <v>-17.169261999519222</v>
      </c>
    </row>
    <row r="278" spans="1:18" ht="14.4" customHeight="1">
      <c r="A278" s="2">
        <v>45580</v>
      </c>
      <c r="B278" s="1" t="s">
        <v>14</v>
      </c>
      <c r="C278" s="3">
        <v>3124</v>
      </c>
      <c r="D278" s="3">
        <v>3128</v>
      </c>
      <c r="E278" s="3">
        <v>3091.5</v>
      </c>
      <c r="F278" s="3">
        <v>3101.1</v>
      </c>
      <c r="G278" s="3">
        <v>3103.25</v>
      </c>
      <c r="H278" s="3">
        <v>3104.7</v>
      </c>
      <c r="I278" s="3">
        <v>3107.21</v>
      </c>
      <c r="J278" s="3">
        <v>3743.9</v>
      </c>
      <c r="K278" s="3">
        <v>2142</v>
      </c>
      <c r="L278" s="1" t="s">
        <v>544</v>
      </c>
      <c r="M278" s="1" t="s">
        <v>545</v>
      </c>
      <c r="N278" s="4">
        <v>35471</v>
      </c>
      <c r="O278" s="7">
        <f t="shared" si="16"/>
        <v>0.11608783979877815</v>
      </c>
      <c r="P278" s="8">
        <f t="shared" si="17"/>
        <v>36.5</v>
      </c>
      <c r="Q278" s="7">
        <f t="shared" si="18"/>
        <v>10.476530123199232</v>
      </c>
      <c r="R278" s="7">
        <f t="shared" si="19"/>
        <v>-17.073105585085081</v>
      </c>
    </row>
    <row r="279" spans="1:18" ht="14.4" customHeight="1">
      <c r="A279" s="2">
        <v>45581</v>
      </c>
      <c r="B279" s="1" t="s">
        <v>14</v>
      </c>
      <c r="C279" s="3">
        <v>3098</v>
      </c>
      <c r="D279" s="3">
        <v>3115.4</v>
      </c>
      <c r="E279" s="3">
        <v>3061</v>
      </c>
      <c r="F279" s="3">
        <v>3104.7</v>
      </c>
      <c r="G279" s="3">
        <v>3078</v>
      </c>
      <c r="H279" s="3">
        <v>3085.9</v>
      </c>
      <c r="I279" s="3">
        <v>3089.06</v>
      </c>
      <c r="J279" s="3">
        <v>3743.9</v>
      </c>
      <c r="K279" s="3">
        <v>2142</v>
      </c>
      <c r="L279" s="1" t="s">
        <v>542</v>
      </c>
      <c r="M279" s="1" t="s">
        <v>543</v>
      </c>
      <c r="N279" s="4">
        <v>44391</v>
      </c>
      <c r="O279" s="7">
        <f t="shared" si="16"/>
        <v>-0.60553354591425024</v>
      </c>
      <c r="P279" s="8">
        <f t="shared" si="17"/>
        <v>54.400000000000091</v>
      </c>
      <c r="Q279" s="7">
        <f t="shared" si="18"/>
        <v>12.242932125881373</v>
      </c>
      <c r="R279" s="7">
        <f t="shared" si="19"/>
        <v>-17.575255749352277</v>
      </c>
    </row>
    <row r="280" spans="1:18" ht="14.4" customHeight="1">
      <c r="A280" s="2">
        <v>45582</v>
      </c>
      <c r="B280" s="1" t="s">
        <v>14</v>
      </c>
      <c r="C280" s="3">
        <v>3089.95</v>
      </c>
      <c r="D280" s="3">
        <v>3100</v>
      </c>
      <c r="E280" s="3">
        <v>2993</v>
      </c>
      <c r="F280" s="3">
        <v>3085.9</v>
      </c>
      <c r="G280" s="3">
        <v>3005</v>
      </c>
      <c r="H280" s="3">
        <v>3013.75</v>
      </c>
      <c r="I280" s="3">
        <v>3032.31</v>
      </c>
      <c r="J280" s="3">
        <v>3743.9</v>
      </c>
      <c r="K280" s="3">
        <v>2142</v>
      </c>
      <c r="L280" s="1" t="s">
        <v>540</v>
      </c>
      <c r="M280" s="1" t="s">
        <v>541</v>
      </c>
      <c r="N280" s="4">
        <v>68030</v>
      </c>
      <c r="O280" s="7">
        <f t="shared" si="16"/>
        <v>-2.3380537282478397</v>
      </c>
      <c r="P280" s="8">
        <f t="shared" si="17"/>
        <v>107</v>
      </c>
      <c r="Q280" s="7">
        <f t="shared" si="18"/>
        <v>39.031148022931063</v>
      </c>
      <c r="R280" s="7">
        <f t="shared" si="19"/>
        <v>-19.502390555303293</v>
      </c>
    </row>
    <row r="281" spans="1:18" ht="14.4" customHeight="1">
      <c r="A281" s="2">
        <v>45583</v>
      </c>
      <c r="B281" s="1" t="s">
        <v>14</v>
      </c>
      <c r="C281" s="3">
        <v>2990</v>
      </c>
      <c r="D281" s="3">
        <v>3031.7</v>
      </c>
      <c r="E281" s="3">
        <v>2968.1</v>
      </c>
      <c r="F281" s="3">
        <v>3013.75</v>
      </c>
      <c r="G281" s="3">
        <v>2999.95</v>
      </c>
      <c r="H281" s="3">
        <v>3002</v>
      </c>
      <c r="I281" s="3">
        <v>3001.38</v>
      </c>
      <c r="J281" s="3">
        <v>3743.9</v>
      </c>
      <c r="K281" s="3">
        <v>2142</v>
      </c>
      <c r="L281" s="1" t="s">
        <v>538</v>
      </c>
      <c r="M281" s="1" t="s">
        <v>539</v>
      </c>
      <c r="N281" s="4">
        <v>47617</v>
      </c>
      <c r="O281" s="7">
        <f t="shared" si="16"/>
        <v>-0.38987971795935294</v>
      </c>
      <c r="P281" s="8">
        <f t="shared" si="17"/>
        <v>63.599999999999909</v>
      </c>
      <c r="Q281" s="7">
        <f t="shared" si="18"/>
        <v>16.723838125039375</v>
      </c>
      <c r="R281" s="7">
        <f t="shared" si="19"/>
        <v>-19.816234407970303</v>
      </c>
    </row>
    <row r="282" spans="1:18" ht="14.4" customHeight="1">
      <c r="A282" s="2">
        <v>45586</v>
      </c>
      <c r="B282" s="1" t="s">
        <v>14</v>
      </c>
      <c r="C282" s="3">
        <v>3005.15</v>
      </c>
      <c r="D282" s="3">
        <v>3014.95</v>
      </c>
      <c r="E282" s="3">
        <v>2916.95</v>
      </c>
      <c r="F282" s="3">
        <v>3002</v>
      </c>
      <c r="G282" s="3">
        <v>2932</v>
      </c>
      <c r="H282" s="3">
        <v>2937.65</v>
      </c>
      <c r="I282" s="3">
        <v>2949.2</v>
      </c>
      <c r="J282" s="3">
        <v>3743.9</v>
      </c>
      <c r="K282" s="3">
        <v>2142</v>
      </c>
      <c r="L282" s="1" t="s">
        <v>536</v>
      </c>
      <c r="M282" s="1" t="s">
        <v>537</v>
      </c>
      <c r="N282" s="4">
        <v>69473</v>
      </c>
      <c r="O282" s="7">
        <f t="shared" si="16"/>
        <v>-2.1435709526981981</v>
      </c>
      <c r="P282" s="8">
        <f t="shared" si="17"/>
        <v>98</v>
      </c>
      <c r="Q282" s="7">
        <f t="shared" si="18"/>
        <v>15.138111208670994</v>
      </c>
      <c r="R282" s="7">
        <f t="shared" si="19"/>
        <v>-21.535030315980659</v>
      </c>
    </row>
    <row r="283" spans="1:18" ht="14.4" customHeight="1">
      <c r="A283" s="2">
        <v>45587</v>
      </c>
      <c r="B283" s="1" t="s">
        <v>14</v>
      </c>
      <c r="C283" s="3">
        <v>2938</v>
      </c>
      <c r="D283" s="3">
        <v>2955</v>
      </c>
      <c r="E283" s="3">
        <v>2818</v>
      </c>
      <c r="F283" s="3">
        <v>2937.65</v>
      </c>
      <c r="G283" s="3">
        <v>2840.9</v>
      </c>
      <c r="H283" s="3">
        <v>2823.8</v>
      </c>
      <c r="I283" s="3">
        <v>2860.67</v>
      </c>
      <c r="J283" s="3">
        <v>3743.9</v>
      </c>
      <c r="K283" s="3">
        <v>2142</v>
      </c>
      <c r="L283" s="1" t="s">
        <v>534</v>
      </c>
      <c r="M283" s="1" t="s">
        <v>535</v>
      </c>
      <c r="N283" s="4">
        <v>99927</v>
      </c>
      <c r="O283" s="7">
        <f t="shared" si="16"/>
        <v>-3.8755467805899237</v>
      </c>
      <c r="P283" s="8">
        <f t="shared" si="17"/>
        <v>137</v>
      </c>
      <c r="Q283" s="7">
        <f t="shared" si="18"/>
        <v>12.106157494971329</v>
      </c>
      <c r="R283" s="7">
        <f t="shared" si="19"/>
        <v>-24.575976922460534</v>
      </c>
    </row>
    <row r="284" spans="1:18" ht="14.4" customHeight="1">
      <c r="A284" s="2">
        <v>45588</v>
      </c>
      <c r="B284" s="1" t="s">
        <v>14</v>
      </c>
      <c r="C284" s="3">
        <v>2840.85</v>
      </c>
      <c r="D284" s="3">
        <v>2879</v>
      </c>
      <c r="E284" s="3">
        <v>2820.1</v>
      </c>
      <c r="F284" s="3">
        <v>2823.8</v>
      </c>
      <c r="G284" s="3">
        <v>2829.9</v>
      </c>
      <c r="H284" s="3">
        <v>2835.55</v>
      </c>
      <c r="I284" s="3">
        <v>2850.63</v>
      </c>
      <c r="J284" s="3">
        <v>3743.9</v>
      </c>
      <c r="K284" s="3">
        <v>2142</v>
      </c>
      <c r="L284" s="1" t="s">
        <v>532</v>
      </c>
      <c r="M284" s="1" t="s">
        <v>533</v>
      </c>
      <c r="N284" s="4">
        <v>74396</v>
      </c>
      <c r="O284" s="7">
        <f t="shared" si="16"/>
        <v>0.41610595651250082</v>
      </c>
      <c r="P284" s="8">
        <f t="shared" si="17"/>
        <v>58.900000000000091</v>
      </c>
      <c r="Q284" s="7">
        <f t="shared" si="18"/>
        <v>17.077934297542878</v>
      </c>
      <c r="R284" s="7">
        <f t="shared" si="19"/>
        <v>-24.262133069793528</v>
      </c>
    </row>
    <row r="285" spans="1:18" ht="14.4" customHeight="1">
      <c r="A285" s="2">
        <v>45589</v>
      </c>
      <c r="B285" s="1" t="s">
        <v>14</v>
      </c>
      <c r="C285" s="3">
        <v>2841.05</v>
      </c>
      <c r="D285" s="3">
        <v>2875.15</v>
      </c>
      <c r="E285" s="3">
        <v>2807.9</v>
      </c>
      <c r="F285" s="3">
        <v>2835.55</v>
      </c>
      <c r="G285" s="3">
        <v>2828.15</v>
      </c>
      <c r="H285" s="3">
        <v>2830.2</v>
      </c>
      <c r="I285" s="3">
        <v>2837.19</v>
      </c>
      <c r="J285" s="3">
        <v>3743.9</v>
      </c>
      <c r="K285" s="3">
        <v>2142</v>
      </c>
      <c r="L285" s="1" t="s">
        <v>530</v>
      </c>
      <c r="M285" s="1" t="s">
        <v>531</v>
      </c>
      <c r="N285" s="4">
        <v>63401</v>
      </c>
      <c r="O285" s="7">
        <f t="shared" si="16"/>
        <v>-0.18867591825220376</v>
      </c>
      <c r="P285" s="8">
        <f t="shared" si="17"/>
        <v>67.25</v>
      </c>
      <c r="Q285" s="7">
        <f t="shared" si="18"/>
        <v>14.85885080676961</v>
      </c>
      <c r="R285" s="7">
        <f t="shared" si="19"/>
        <v>-24.405032185688729</v>
      </c>
    </row>
    <row r="286" spans="1:18" ht="14.4" customHeight="1">
      <c r="A286" s="2">
        <v>45590</v>
      </c>
      <c r="B286" s="1" t="s">
        <v>14</v>
      </c>
      <c r="C286" s="3">
        <v>2845</v>
      </c>
      <c r="D286" s="3">
        <v>2847</v>
      </c>
      <c r="E286" s="3">
        <v>2654.7</v>
      </c>
      <c r="F286" s="3">
        <v>2830.2</v>
      </c>
      <c r="G286" s="3">
        <v>2691.5</v>
      </c>
      <c r="H286" s="3">
        <v>2693.45</v>
      </c>
      <c r="I286" s="3">
        <v>2716.52</v>
      </c>
      <c r="J286" s="3">
        <v>3743.9</v>
      </c>
      <c r="K286" s="3">
        <v>2142</v>
      </c>
      <c r="L286" s="1" t="s">
        <v>527</v>
      </c>
      <c r="M286" s="1" t="s">
        <v>528</v>
      </c>
      <c r="N286" s="1" t="s">
        <v>529</v>
      </c>
      <c r="O286" s="7">
        <f t="shared" si="16"/>
        <v>-4.8318140060773089</v>
      </c>
      <c r="P286" s="8">
        <f t="shared" si="17"/>
        <v>192.30000000000018</v>
      </c>
      <c r="Q286" s="7">
        <f t="shared" si="18"/>
        <v>15.606050200049513</v>
      </c>
      <c r="R286" s="7">
        <f t="shared" si="19"/>
        <v>-28.057640428430254</v>
      </c>
    </row>
    <row r="287" spans="1:18" ht="14.4" customHeight="1">
      <c r="A287" s="2">
        <v>45593</v>
      </c>
      <c r="B287" s="1" t="s">
        <v>14</v>
      </c>
      <c r="C287" s="3">
        <v>2701.1</v>
      </c>
      <c r="D287" s="3">
        <v>2822.4</v>
      </c>
      <c r="E287" s="3">
        <v>2672.1</v>
      </c>
      <c r="F287" s="3">
        <v>2693.45</v>
      </c>
      <c r="G287" s="3">
        <v>2803</v>
      </c>
      <c r="H287" s="3">
        <v>2798.65</v>
      </c>
      <c r="I287" s="3">
        <v>2777.6</v>
      </c>
      <c r="J287" s="3">
        <v>3743.9</v>
      </c>
      <c r="K287" s="3">
        <v>2142</v>
      </c>
      <c r="L287" s="1" t="s">
        <v>525</v>
      </c>
      <c r="M287" s="1" t="s">
        <v>526</v>
      </c>
      <c r="N287" s="4">
        <v>89897</v>
      </c>
      <c r="O287" s="7">
        <f t="shared" si="16"/>
        <v>3.905771408416725</v>
      </c>
      <c r="P287" s="8">
        <f t="shared" si="17"/>
        <v>150.30000000000018</v>
      </c>
      <c r="Q287" s="7">
        <f t="shared" si="18"/>
        <v>15.406887882799204</v>
      </c>
      <c r="R287" s="7">
        <f t="shared" si="19"/>
        <v>-25.247736317743531</v>
      </c>
    </row>
    <row r="288" spans="1:18" ht="14.4" customHeight="1">
      <c r="A288" s="2">
        <v>45594</v>
      </c>
      <c r="B288" s="1" t="s">
        <v>14</v>
      </c>
      <c r="C288" s="3">
        <v>2803</v>
      </c>
      <c r="D288" s="3">
        <v>2863.05</v>
      </c>
      <c r="E288" s="3">
        <v>2732.85</v>
      </c>
      <c r="F288" s="3">
        <v>2798.65</v>
      </c>
      <c r="G288" s="3">
        <v>2842</v>
      </c>
      <c r="H288" s="3">
        <v>2848.6</v>
      </c>
      <c r="I288" s="3">
        <v>2808.68</v>
      </c>
      <c r="J288" s="3">
        <v>3743.9</v>
      </c>
      <c r="K288" s="3">
        <v>2142</v>
      </c>
      <c r="L288" s="1" t="s">
        <v>522</v>
      </c>
      <c r="M288" s="1" t="s">
        <v>523</v>
      </c>
      <c r="N288" s="1" t="s">
        <v>524</v>
      </c>
      <c r="O288" s="7">
        <f t="shared" si="16"/>
        <v>1.7847890947421012</v>
      </c>
      <c r="P288" s="8">
        <f t="shared" si="17"/>
        <v>130.20000000000027</v>
      </c>
      <c r="Q288" s="7">
        <f t="shared" si="18"/>
        <v>15.200095382872814</v>
      </c>
      <c r="R288" s="7">
        <f t="shared" si="19"/>
        <v>-23.913566067469755</v>
      </c>
    </row>
    <row r="289" spans="1:18" ht="14.4" customHeight="1">
      <c r="A289" s="2">
        <v>45595</v>
      </c>
      <c r="B289" s="1" t="s">
        <v>14</v>
      </c>
      <c r="C289" s="3">
        <v>2864</v>
      </c>
      <c r="D289" s="3">
        <v>2997.15</v>
      </c>
      <c r="E289" s="3">
        <v>2815.05</v>
      </c>
      <c r="F289" s="3">
        <v>2848.6</v>
      </c>
      <c r="G289" s="3">
        <v>2955</v>
      </c>
      <c r="H289" s="3">
        <v>2969.3</v>
      </c>
      <c r="I289" s="3">
        <v>2944.04</v>
      </c>
      <c r="J289" s="3">
        <v>3743.9</v>
      </c>
      <c r="K289" s="3">
        <v>2142</v>
      </c>
      <c r="L289" s="1" t="s">
        <v>519</v>
      </c>
      <c r="M289" s="1" t="s">
        <v>520</v>
      </c>
      <c r="N289" s="1" t="s">
        <v>521</v>
      </c>
      <c r="O289" s="7">
        <f t="shared" si="16"/>
        <v>4.2371691357158001</v>
      </c>
      <c r="P289" s="8">
        <f t="shared" si="17"/>
        <v>182.09999999999991</v>
      </c>
      <c r="Q289" s="7">
        <f t="shared" si="18"/>
        <v>19.820450797141287</v>
      </c>
      <c r="R289" s="7">
        <f t="shared" si="19"/>
        <v>-20.68965517241379</v>
      </c>
    </row>
    <row r="290" spans="1:18" ht="14.4" customHeight="1">
      <c r="A290" s="2">
        <v>45596</v>
      </c>
      <c r="B290" s="1" t="s">
        <v>14</v>
      </c>
      <c r="C290" s="3">
        <v>2967.9</v>
      </c>
      <c r="D290" s="3">
        <v>2976.5</v>
      </c>
      <c r="E290" s="3">
        <v>2933.85</v>
      </c>
      <c r="F290" s="3">
        <v>2969.3</v>
      </c>
      <c r="G290" s="3">
        <v>2948.95</v>
      </c>
      <c r="H290" s="3">
        <v>2947.25</v>
      </c>
      <c r="I290" s="3">
        <v>2950.81</v>
      </c>
      <c r="J290" s="3">
        <v>3743.9</v>
      </c>
      <c r="K290" s="3">
        <v>2142</v>
      </c>
      <c r="L290" s="1" t="s">
        <v>517</v>
      </c>
      <c r="M290" s="1" t="s">
        <v>518</v>
      </c>
      <c r="N290" s="4">
        <v>82267</v>
      </c>
      <c r="O290" s="7">
        <f t="shared" si="16"/>
        <v>-0.74259926582023306</v>
      </c>
      <c r="P290" s="8">
        <f t="shared" si="17"/>
        <v>42.650000000000091</v>
      </c>
      <c r="Q290" s="7">
        <f t="shared" si="18"/>
        <v>14.05654758287041</v>
      </c>
      <c r="R290" s="7">
        <f t="shared" si="19"/>
        <v>-21.278613210822943</v>
      </c>
    </row>
    <row r="291" spans="1:18" ht="14.4" customHeight="1">
      <c r="A291" s="2">
        <v>45597</v>
      </c>
      <c r="B291" s="1" t="s">
        <v>14</v>
      </c>
      <c r="C291" s="3">
        <v>2960</v>
      </c>
      <c r="D291" s="3">
        <v>2975.6</v>
      </c>
      <c r="E291" s="3">
        <v>2928.4</v>
      </c>
      <c r="F291" s="3">
        <v>2947.25</v>
      </c>
      <c r="G291" s="3">
        <v>2941.05</v>
      </c>
      <c r="H291" s="3">
        <v>2949.5</v>
      </c>
      <c r="I291" s="3">
        <v>2957.08</v>
      </c>
      <c r="J291" s="3">
        <v>3743.9</v>
      </c>
      <c r="K291" s="3">
        <v>2142</v>
      </c>
      <c r="L291" s="1" t="s">
        <v>515</v>
      </c>
      <c r="M291" s="1" t="s">
        <v>516</v>
      </c>
      <c r="N291" s="4">
        <v>13462</v>
      </c>
      <c r="O291" s="7">
        <f t="shared" si="16"/>
        <v>7.6342353040970395E-2</v>
      </c>
      <c r="P291" s="8">
        <f t="shared" si="17"/>
        <v>47.199999999999818</v>
      </c>
      <c r="Q291" s="7">
        <f t="shared" si="18"/>
        <v>22.632075471698112</v>
      </c>
      <c r="R291" s="7">
        <f t="shared" si="19"/>
        <v>-21.218515451801597</v>
      </c>
    </row>
    <row r="292" spans="1:18" ht="14.4" customHeight="1">
      <c r="A292" s="2">
        <v>45600</v>
      </c>
      <c r="B292" s="1" t="s">
        <v>14</v>
      </c>
      <c r="C292" s="3">
        <v>2935</v>
      </c>
      <c r="D292" s="3">
        <v>2943</v>
      </c>
      <c r="E292" s="3">
        <v>2857.75</v>
      </c>
      <c r="F292" s="3">
        <v>2949.5</v>
      </c>
      <c r="G292" s="3">
        <v>2890</v>
      </c>
      <c r="H292" s="3">
        <v>2897.4</v>
      </c>
      <c r="I292" s="3">
        <v>2895.82</v>
      </c>
      <c r="J292" s="3">
        <v>3743.9</v>
      </c>
      <c r="K292" s="3">
        <v>2142</v>
      </c>
      <c r="L292" s="1" t="s">
        <v>513</v>
      </c>
      <c r="M292" s="1" t="s">
        <v>514</v>
      </c>
      <c r="N292" s="4">
        <v>87457</v>
      </c>
      <c r="O292" s="7">
        <f t="shared" si="16"/>
        <v>-1.7664010849296461</v>
      </c>
      <c r="P292" s="8">
        <f t="shared" si="17"/>
        <v>85.25</v>
      </c>
      <c r="Q292" s="7">
        <f t="shared" si="18"/>
        <v>12.113198486113175</v>
      </c>
      <c r="R292" s="7">
        <f t="shared" si="19"/>
        <v>-22.610112449584658</v>
      </c>
    </row>
    <row r="293" spans="1:18" ht="14.4" customHeight="1">
      <c r="A293" s="2">
        <v>45601</v>
      </c>
      <c r="B293" s="1" t="s">
        <v>14</v>
      </c>
      <c r="C293" s="3">
        <v>2897.4</v>
      </c>
      <c r="D293" s="3">
        <v>2924</v>
      </c>
      <c r="E293" s="3">
        <v>2870</v>
      </c>
      <c r="F293" s="3">
        <v>2897.4</v>
      </c>
      <c r="G293" s="3">
        <v>2917.55</v>
      </c>
      <c r="H293" s="3">
        <v>2915.55</v>
      </c>
      <c r="I293" s="3">
        <v>2898.85</v>
      </c>
      <c r="J293" s="3">
        <v>3743.9</v>
      </c>
      <c r="K293" s="3">
        <v>2142</v>
      </c>
      <c r="L293" s="1" t="s">
        <v>511</v>
      </c>
      <c r="M293" s="1" t="s">
        <v>512</v>
      </c>
      <c r="N293" s="4">
        <v>59721</v>
      </c>
      <c r="O293" s="7">
        <f t="shared" si="16"/>
        <v>0.62642369020501454</v>
      </c>
      <c r="P293" s="8">
        <f t="shared" si="17"/>
        <v>54</v>
      </c>
      <c r="Q293" s="7">
        <f t="shared" si="18"/>
        <v>12.596959193583496</v>
      </c>
      <c r="R293" s="7">
        <f t="shared" si="19"/>
        <v>-22.125323860145834</v>
      </c>
    </row>
    <row r="294" spans="1:18" ht="14.4" customHeight="1">
      <c r="A294" s="2">
        <v>45602</v>
      </c>
      <c r="B294" s="1" t="s">
        <v>14</v>
      </c>
      <c r="C294" s="3">
        <v>2918</v>
      </c>
      <c r="D294" s="3">
        <v>3070</v>
      </c>
      <c r="E294" s="3">
        <v>2918</v>
      </c>
      <c r="F294" s="3">
        <v>2915.55</v>
      </c>
      <c r="G294" s="3">
        <v>3046.25</v>
      </c>
      <c r="H294" s="3">
        <v>3046.25</v>
      </c>
      <c r="I294" s="3">
        <v>3010.7</v>
      </c>
      <c r="J294" s="3">
        <v>3743.9</v>
      </c>
      <c r="K294" s="3">
        <v>2142</v>
      </c>
      <c r="L294" s="1" t="s">
        <v>509</v>
      </c>
      <c r="M294" s="1" t="s">
        <v>510</v>
      </c>
      <c r="N294" s="4">
        <v>99615</v>
      </c>
      <c r="O294" s="7">
        <f t="shared" si="16"/>
        <v>4.482859151789536</v>
      </c>
      <c r="P294" s="8">
        <f t="shared" si="17"/>
        <v>152</v>
      </c>
      <c r="Q294" s="7">
        <f t="shared" si="18"/>
        <v>16.832354565075541</v>
      </c>
      <c r="R294" s="7">
        <f t="shared" si="19"/>
        <v>-18.634311813883919</v>
      </c>
    </row>
    <row r="295" spans="1:18" ht="14.4" customHeight="1">
      <c r="A295" s="2">
        <v>45603</v>
      </c>
      <c r="B295" s="1" t="s">
        <v>14</v>
      </c>
      <c r="C295" s="3">
        <v>3045</v>
      </c>
      <c r="D295" s="3">
        <v>3045</v>
      </c>
      <c r="E295" s="3">
        <v>2943.05</v>
      </c>
      <c r="F295" s="3">
        <v>3046.25</v>
      </c>
      <c r="G295" s="3">
        <v>2962.65</v>
      </c>
      <c r="H295" s="3">
        <v>2970.1</v>
      </c>
      <c r="I295" s="3">
        <v>2968.25</v>
      </c>
      <c r="J295" s="3">
        <v>3743.9</v>
      </c>
      <c r="K295" s="3">
        <v>2142</v>
      </c>
      <c r="L295" s="1" t="s">
        <v>507</v>
      </c>
      <c r="M295" s="1" t="s">
        <v>508</v>
      </c>
      <c r="N295" s="4">
        <v>84570</v>
      </c>
      <c r="O295" s="7">
        <f t="shared" si="16"/>
        <v>-2.499794829708661</v>
      </c>
      <c r="P295" s="8">
        <f t="shared" si="17"/>
        <v>101.94999999999982</v>
      </c>
      <c r="Q295" s="7">
        <f t="shared" si="18"/>
        <v>15.201430767411612</v>
      </c>
      <c r="R295" s="7">
        <f t="shared" si="19"/>
        <v>-20.66828708031732</v>
      </c>
    </row>
    <row r="296" spans="1:18" ht="14.4" customHeight="1">
      <c r="A296" s="2">
        <v>45604</v>
      </c>
      <c r="B296" s="1" t="s">
        <v>14</v>
      </c>
      <c r="C296" s="3">
        <v>2965.1</v>
      </c>
      <c r="D296" s="3">
        <v>2995</v>
      </c>
      <c r="E296" s="3">
        <v>2911.25</v>
      </c>
      <c r="F296" s="3">
        <v>2970.1</v>
      </c>
      <c r="G296" s="3">
        <v>2920</v>
      </c>
      <c r="H296" s="3">
        <v>2929.1</v>
      </c>
      <c r="I296" s="3">
        <v>2947.35</v>
      </c>
      <c r="J296" s="3">
        <v>3743.9</v>
      </c>
      <c r="K296" s="3">
        <v>2142</v>
      </c>
      <c r="L296" s="1" t="s">
        <v>505</v>
      </c>
      <c r="M296" s="1" t="s">
        <v>506</v>
      </c>
      <c r="N296" s="4">
        <v>49840</v>
      </c>
      <c r="O296" s="7">
        <f t="shared" si="16"/>
        <v>-1.3804249015184673</v>
      </c>
      <c r="P296" s="8">
        <f t="shared" si="17"/>
        <v>83.75</v>
      </c>
      <c r="Q296" s="7">
        <f t="shared" si="18"/>
        <v>16.766472712680578</v>
      </c>
      <c r="R296" s="7">
        <f t="shared" si="19"/>
        <v>-21.763401800261764</v>
      </c>
    </row>
    <row r="297" spans="1:18" ht="14.4" customHeight="1">
      <c r="A297" s="2">
        <v>45607</v>
      </c>
      <c r="B297" s="1" t="s">
        <v>14</v>
      </c>
      <c r="C297" s="3">
        <v>2928</v>
      </c>
      <c r="D297" s="3">
        <v>2946.8</v>
      </c>
      <c r="E297" s="3">
        <v>2888</v>
      </c>
      <c r="F297" s="3">
        <v>2929.1</v>
      </c>
      <c r="G297" s="3">
        <v>2903</v>
      </c>
      <c r="H297" s="3">
        <v>2903.65</v>
      </c>
      <c r="I297" s="3">
        <v>2915.81</v>
      </c>
      <c r="J297" s="3">
        <v>3743.9</v>
      </c>
      <c r="K297" s="3">
        <v>2142</v>
      </c>
      <c r="L297" s="1" t="s">
        <v>503</v>
      </c>
      <c r="M297" s="1" t="s">
        <v>504</v>
      </c>
      <c r="N297" s="4">
        <v>44808</v>
      </c>
      <c r="O297" s="7">
        <f t="shared" si="16"/>
        <v>-0.86886757024341332</v>
      </c>
      <c r="P297" s="8">
        <f t="shared" si="17"/>
        <v>58.800000000000182</v>
      </c>
      <c r="Q297" s="7">
        <f t="shared" si="18"/>
        <v>13.036600607034458</v>
      </c>
      <c r="R297" s="7">
        <f t="shared" si="19"/>
        <v>-22.443174230080931</v>
      </c>
    </row>
    <row r="298" spans="1:18" ht="14.4" customHeight="1">
      <c r="A298" s="2">
        <v>45608</v>
      </c>
      <c r="B298" s="1" t="s">
        <v>14</v>
      </c>
      <c r="C298" s="3">
        <v>2910</v>
      </c>
      <c r="D298" s="3">
        <v>2930.45</v>
      </c>
      <c r="E298" s="3">
        <v>2855</v>
      </c>
      <c r="F298" s="3">
        <v>2903.65</v>
      </c>
      <c r="G298" s="3">
        <v>2860</v>
      </c>
      <c r="H298" s="3">
        <v>2870</v>
      </c>
      <c r="I298" s="3">
        <v>2895.5</v>
      </c>
      <c r="J298" s="3">
        <v>3743.9</v>
      </c>
      <c r="K298" s="3">
        <v>2142</v>
      </c>
      <c r="L298" s="1" t="s">
        <v>501</v>
      </c>
      <c r="M298" s="1" t="s">
        <v>502</v>
      </c>
      <c r="N298" s="4">
        <v>53386</v>
      </c>
      <c r="O298" s="7">
        <f t="shared" si="16"/>
        <v>-1.1588862294009294</v>
      </c>
      <c r="P298" s="8">
        <f t="shared" si="17"/>
        <v>75.449999999999818</v>
      </c>
      <c r="Q298" s="7">
        <f t="shared" si="18"/>
        <v>11.187034053871802</v>
      </c>
      <c r="R298" s="7">
        <f t="shared" si="19"/>
        <v>-23.341969603888995</v>
      </c>
    </row>
    <row r="299" spans="1:18" ht="14.4" customHeight="1">
      <c r="A299" s="2">
        <v>45609</v>
      </c>
      <c r="B299" s="1" t="s">
        <v>14</v>
      </c>
      <c r="C299" s="3">
        <v>2860</v>
      </c>
      <c r="D299" s="3">
        <v>2889</v>
      </c>
      <c r="E299" s="3">
        <v>2808</v>
      </c>
      <c r="F299" s="3">
        <v>2870</v>
      </c>
      <c r="G299" s="3">
        <v>2817</v>
      </c>
      <c r="H299" s="3">
        <v>2816.7</v>
      </c>
      <c r="I299" s="3">
        <v>2840.32</v>
      </c>
      <c r="J299" s="3">
        <v>3743.9</v>
      </c>
      <c r="K299" s="3">
        <v>2142</v>
      </c>
      <c r="L299" s="1" t="s">
        <v>499</v>
      </c>
      <c r="M299" s="1" t="s">
        <v>500</v>
      </c>
      <c r="N299" s="4">
        <v>67503</v>
      </c>
      <c r="O299" s="7">
        <f t="shared" si="16"/>
        <v>-1.8571428571428634</v>
      </c>
      <c r="P299" s="8">
        <f t="shared" si="17"/>
        <v>81</v>
      </c>
      <c r="Q299" s="7">
        <f t="shared" si="18"/>
        <v>13.186762069833934</v>
      </c>
      <c r="R299" s="7">
        <f t="shared" si="19"/>
        <v>-24.765618739816773</v>
      </c>
    </row>
    <row r="300" spans="1:18" ht="14.4" customHeight="1">
      <c r="A300" s="2">
        <v>45610</v>
      </c>
      <c r="B300" s="1" t="s">
        <v>14</v>
      </c>
      <c r="C300" s="3">
        <v>2824</v>
      </c>
      <c r="D300" s="3">
        <v>2844.8</v>
      </c>
      <c r="E300" s="3">
        <v>2801</v>
      </c>
      <c r="F300" s="3">
        <v>2816.7</v>
      </c>
      <c r="G300" s="3">
        <v>2820</v>
      </c>
      <c r="H300" s="3">
        <v>2826.8</v>
      </c>
      <c r="I300" s="3">
        <v>2823.39</v>
      </c>
      <c r="J300" s="3">
        <v>3743.9</v>
      </c>
      <c r="K300" s="3">
        <v>2142</v>
      </c>
      <c r="L300" s="1" t="s">
        <v>497</v>
      </c>
      <c r="M300" s="1" t="s">
        <v>498</v>
      </c>
      <c r="N300" s="4">
        <v>66067</v>
      </c>
      <c r="O300" s="7">
        <f t="shared" si="16"/>
        <v>0.35857563815814125</v>
      </c>
      <c r="P300" s="8">
        <f t="shared" si="17"/>
        <v>43.800000000000182</v>
      </c>
      <c r="Q300" s="7">
        <f t="shared" si="18"/>
        <v>9.7900161956801437</v>
      </c>
      <c r="R300" s="7">
        <f t="shared" si="19"/>
        <v>-24.495846577098746</v>
      </c>
    </row>
    <row r="301" spans="1:18" ht="14.4" customHeight="1">
      <c r="A301" s="2">
        <v>45614</v>
      </c>
      <c r="B301" s="1" t="s">
        <v>14</v>
      </c>
      <c r="C301" s="3">
        <v>2826.8</v>
      </c>
      <c r="D301" s="3">
        <v>2858.65</v>
      </c>
      <c r="E301" s="3">
        <v>2793.3</v>
      </c>
      <c r="F301" s="3">
        <v>2826.8</v>
      </c>
      <c r="G301" s="3">
        <v>2820</v>
      </c>
      <c r="H301" s="3">
        <v>2818.7</v>
      </c>
      <c r="I301" s="3">
        <v>2825.41</v>
      </c>
      <c r="J301" s="3">
        <v>3743.9</v>
      </c>
      <c r="K301" s="3">
        <v>2142</v>
      </c>
      <c r="L301" s="1" t="s">
        <v>495</v>
      </c>
      <c r="M301" s="1" t="s">
        <v>496</v>
      </c>
      <c r="N301" s="4">
        <v>42870</v>
      </c>
      <c r="O301" s="7">
        <f t="shared" si="16"/>
        <v>-0.2865430875902209</v>
      </c>
      <c r="P301" s="8">
        <f t="shared" si="17"/>
        <v>65.349999999999909</v>
      </c>
      <c r="Q301" s="7">
        <f t="shared" si="18"/>
        <v>11.422719850711454</v>
      </c>
      <c r="R301" s="7">
        <f t="shared" si="19"/>
        <v>-24.712198509575583</v>
      </c>
    </row>
    <row r="302" spans="1:18" ht="14.4" customHeight="1">
      <c r="A302" s="2">
        <v>45615</v>
      </c>
      <c r="B302" s="1" t="s">
        <v>14</v>
      </c>
      <c r="C302" s="3">
        <v>2831</v>
      </c>
      <c r="D302" s="3">
        <v>2894.8</v>
      </c>
      <c r="E302" s="3">
        <v>2809.8</v>
      </c>
      <c r="F302" s="3">
        <v>2818.7</v>
      </c>
      <c r="G302" s="3">
        <v>2817</v>
      </c>
      <c r="H302" s="3">
        <v>2821.5</v>
      </c>
      <c r="I302" s="3">
        <v>2858.6</v>
      </c>
      <c r="J302" s="3">
        <v>3743.9</v>
      </c>
      <c r="K302" s="3">
        <v>2142</v>
      </c>
      <c r="L302" s="1" t="s">
        <v>493</v>
      </c>
      <c r="M302" s="1" t="s">
        <v>494</v>
      </c>
      <c r="N302" s="4">
        <v>44585</v>
      </c>
      <c r="O302" s="7">
        <f t="shared" si="16"/>
        <v>9.9336573597764294E-2</v>
      </c>
      <c r="P302" s="8">
        <f t="shared" si="17"/>
        <v>85</v>
      </c>
      <c r="Q302" s="7">
        <f t="shared" si="18"/>
        <v>12.028619490860155</v>
      </c>
      <c r="R302" s="7">
        <f t="shared" si="19"/>
        <v>-24.637410187237911</v>
      </c>
    </row>
    <row r="303" spans="1:18" ht="14.4" customHeight="1">
      <c r="A303" s="2">
        <v>45617</v>
      </c>
      <c r="B303" s="1" t="s">
        <v>14</v>
      </c>
      <c r="C303" s="3">
        <v>2539.35</v>
      </c>
      <c r="D303" s="3">
        <v>2539.35</v>
      </c>
      <c r="E303" s="3">
        <v>2155.0500000000002</v>
      </c>
      <c r="F303" s="3">
        <v>2821.5</v>
      </c>
      <c r="G303" s="3">
        <v>2160</v>
      </c>
      <c r="H303" s="3">
        <v>2183.65</v>
      </c>
      <c r="I303" s="3">
        <v>2254.3000000000002</v>
      </c>
      <c r="J303" s="3">
        <v>3743.9</v>
      </c>
      <c r="K303" s="3">
        <v>2142</v>
      </c>
      <c r="L303" s="1" t="s">
        <v>490</v>
      </c>
      <c r="M303" s="1" t="s">
        <v>491</v>
      </c>
      <c r="N303" s="1" t="s">
        <v>492</v>
      </c>
      <c r="O303" s="7">
        <f t="shared" si="16"/>
        <v>-22.606769448874708</v>
      </c>
      <c r="P303" s="8">
        <f t="shared" si="17"/>
        <v>384.29999999999973</v>
      </c>
      <c r="Q303" s="7">
        <f t="shared" si="18"/>
        <v>27.498026273460475</v>
      </c>
      <c r="R303" s="7">
        <f t="shared" si="19"/>
        <v>-41.674457116910176</v>
      </c>
    </row>
    <row r="304" spans="1:18" ht="14.4" customHeight="1">
      <c r="A304" s="2">
        <v>45618</v>
      </c>
      <c r="B304" s="1" t="s">
        <v>14</v>
      </c>
      <c r="C304" s="3">
        <v>2101</v>
      </c>
      <c r="D304" s="3">
        <v>2289.6999999999998</v>
      </c>
      <c r="E304" s="3">
        <v>2025</v>
      </c>
      <c r="F304" s="3">
        <v>2183.65</v>
      </c>
      <c r="G304" s="3">
        <v>2229.9</v>
      </c>
      <c r="H304" s="3">
        <v>2228</v>
      </c>
      <c r="I304" s="3">
        <v>2188.5100000000002</v>
      </c>
      <c r="J304" s="3">
        <v>3743.9</v>
      </c>
      <c r="K304" s="3">
        <v>2025</v>
      </c>
      <c r="L304" s="1" t="s">
        <v>487</v>
      </c>
      <c r="M304" s="1" t="s">
        <v>488</v>
      </c>
      <c r="N304" s="1" t="s">
        <v>489</v>
      </c>
      <c r="O304" s="7">
        <f t="shared" si="16"/>
        <v>2.0310031369495984</v>
      </c>
      <c r="P304" s="8">
        <f t="shared" si="17"/>
        <v>264.69999999999982</v>
      </c>
      <c r="Q304" s="7">
        <f t="shared" si="18"/>
        <v>29.431097805232863</v>
      </c>
      <c r="R304" s="7">
        <f t="shared" si="19"/>
        <v>-40.489863511311732</v>
      </c>
    </row>
    <row r="305" spans="1:18" ht="14.4" customHeight="1">
      <c r="A305" s="2">
        <v>45621</v>
      </c>
      <c r="B305" s="1" t="s">
        <v>14</v>
      </c>
      <c r="C305" s="3">
        <v>2315</v>
      </c>
      <c r="D305" s="3">
        <v>2333.65</v>
      </c>
      <c r="E305" s="3">
        <v>2238</v>
      </c>
      <c r="F305" s="3">
        <v>2228</v>
      </c>
      <c r="G305" s="3">
        <v>2265.1999999999998</v>
      </c>
      <c r="H305" s="3">
        <v>2257.5</v>
      </c>
      <c r="I305" s="3">
        <v>2295.02</v>
      </c>
      <c r="J305" s="3">
        <v>3743.9</v>
      </c>
      <c r="K305" s="3">
        <v>2025</v>
      </c>
      <c r="L305" s="1" t="s">
        <v>484</v>
      </c>
      <c r="M305" s="1" t="s">
        <v>485</v>
      </c>
      <c r="N305" s="1" t="s">
        <v>486</v>
      </c>
      <c r="O305" s="7">
        <f t="shared" si="16"/>
        <v>1.3240574506283662</v>
      </c>
      <c r="P305" s="8">
        <f t="shared" si="17"/>
        <v>95.650000000000091</v>
      </c>
      <c r="Q305" s="7">
        <f t="shared" si="18"/>
        <v>29.537412624758197</v>
      </c>
      <c r="R305" s="7">
        <f t="shared" si="19"/>
        <v>-39.701915115254153</v>
      </c>
    </row>
    <row r="306" spans="1:18" ht="14.4" customHeight="1">
      <c r="A306" s="2">
        <v>45622</v>
      </c>
      <c r="B306" s="1" t="s">
        <v>14</v>
      </c>
      <c r="C306" s="3">
        <v>2265.6</v>
      </c>
      <c r="D306" s="3">
        <v>2292.85</v>
      </c>
      <c r="E306" s="3">
        <v>2136</v>
      </c>
      <c r="F306" s="3">
        <v>2257.5</v>
      </c>
      <c r="G306" s="3">
        <v>2166.85</v>
      </c>
      <c r="H306" s="3">
        <v>2150.5</v>
      </c>
      <c r="I306" s="3">
        <v>2189.62</v>
      </c>
      <c r="J306" s="3">
        <v>3743.9</v>
      </c>
      <c r="K306" s="3">
        <v>2025</v>
      </c>
      <c r="L306" s="1" t="s">
        <v>481</v>
      </c>
      <c r="M306" s="1" t="s">
        <v>482</v>
      </c>
      <c r="N306" s="1" t="s">
        <v>483</v>
      </c>
      <c r="O306" s="7">
        <f t="shared" si="16"/>
        <v>-4.739756367663345</v>
      </c>
      <c r="P306" s="8">
        <f t="shared" si="17"/>
        <v>156.84999999999991</v>
      </c>
      <c r="Q306" s="7">
        <f t="shared" si="18"/>
        <v>24.398848167208463</v>
      </c>
      <c r="R306" s="7">
        <f t="shared" si="19"/>
        <v>-42.559897433157943</v>
      </c>
    </row>
    <row r="307" spans="1:18" ht="14.4" customHeight="1">
      <c r="A307" s="2">
        <v>45623</v>
      </c>
      <c r="B307" s="1" t="s">
        <v>14</v>
      </c>
      <c r="C307" s="3">
        <v>2180</v>
      </c>
      <c r="D307" s="3">
        <v>2418</v>
      </c>
      <c r="E307" s="3">
        <v>2142.15</v>
      </c>
      <c r="F307" s="3">
        <v>2150.5</v>
      </c>
      <c r="G307" s="3">
        <v>2399</v>
      </c>
      <c r="H307" s="3">
        <v>2397.8000000000002</v>
      </c>
      <c r="I307" s="3">
        <v>2324.71</v>
      </c>
      <c r="J307" s="3">
        <v>3743.9</v>
      </c>
      <c r="K307" s="3">
        <v>2025</v>
      </c>
      <c r="L307" s="1" t="s">
        <v>478</v>
      </c>
      <c r="M307" s="1" t="s">
        <v>479</v>
      </c>
      <c r="N307" s="1" t="s">
        <v>480</v>
      </c>
      <c r="O307" s="7">
        <f t="shared" si="16"/>
        <v>11.499651243896777</v>
      </c>
      <c r="P307" s="8">
        <f t="shared" si="17"/>
        <v>275.84999999999991</v>
      </c>
      <c r="Q307" s="7">
        <f t="shared" si="18"/>
        <v>28.206900330705313</v>
      </c>
      <c r="R307" s="7">
        <f t="shared" si="19"/>
        <v>-35.9544859638345</v>
      </c>
    </row>
    <row r="308" spans="1:18" ht="14.4" customHeight="1">
      <c r="A308" s="2">
        <v>45624</v>
      </c>
      <c r="B308" s="1" t="s">
        <v>14</v>
      </c>
      <c r="C308" s="3">
        <v>2440</v>
      </c>
      <c r="D308" s="3">
        <v>2526.3000000000002</v>
      </c>
      <c r="E308" s="3">
        <v>2400</v>
      </c>
      <c r="F308" s="3">
        <v>2397.8000000000002</v>
      </c>
      <c r="G308" s="3">
        <v>2437</v>
      </c>
      <c r="H308" s="3">
        <v>2437.1</v>
      </c>
      <c r="I308" s="3">
        <v>2467.73</v>
      </c>
      <c r="J308" s="3">
        <v>3743.9</v>
      </c>
      <c r="K308" s="3">
        <v>2025</v>
      </c>
      <c r="L308" s="1" t="s">
        <v>475</v>
      </c>
      <c r="M308" s="1" t="s">
        <v>476</v>
      </c>
      <c r="N308" s="1" t="s">
        <v>477</v>
      </c>
      <c r="O308" s="7">
        <f t="shared" si="16"/>
        <v>1.6390024188839656</v>
      </c>
      <c r="P308" s="8">
        <f t="shared" si="17"/>
        <v>126.30000000000018</v>
      </c>
      <c r="Q308" s="7">
        <f t="shared" si="18"/>
        <v>24.454759990181223</v>
      </c>
      <c r="R308" s="7">
        <f t="shared" si="19"/>
        <v>-34.904778439595077</v>
      </c>
    </row>
    <row r="309" spans="1:18" ht="14.4" customHeight="1">
      <c r="A309" s="2">
        <v>45625</v>
      </c>
      <c r="B309" s="1" t="s">
        <v>14</v>
      </c>
      <c r="C309" s="3">
        <v>2464.0500000000002</v>
      </c>
      <c r="D309" s="3">
        <v>2520</v>
      </c>
      <c r="E309" s="3">
        <v>2400</v>
      </c>
      <c r="F309" s="3">
        <v>2437.1</v>
      </c>
      <c r="G309" s="3">
        <v>2457</v>
      </c>
      <c r="H309" s="3">
        <v>2463.15</v>
      </c>
      <c r="I309" s="3">
        <v>2460.36</v>
      </c>
      <c r="J309" s="3">
        <v>3743.9</v>
      </c>
      <c r="K309" s="3">
        <v>2025</v>
      </c>
      <c r="L309" s="1" t="s">
        <v>472</v>
      </c>
      <c r="M309" s="1" t="s">
        <v>473</v>
      </c>
      <c r="N309" s="1" t="s">
        <v>474</v>
      </c>
      <c r="O309" s="7">
        <f t="shared" si="16"/>
        <v>1.0688933568585688</v>
      </c>
      <c r="P309" s="8">
        <f t="shared" si="17"/>
        <v>120</v>
      </c>
      <c r="Q309" s="7">
        <f t="shared" si="18"/>
        <v>25.945206347195388</v>
      </c>
      <c r="R309" s="7">
        <f t="shared" si="19"/>
        <v>-34.208979940703543</v>
      </c>
    </row>
    <row r="310" spans="1:18" ht="14.4" customHeight="1">
      <c r="A310" s="2">
        <v>45628</v>
      </c>
      <c r="B310" s="1" t="s">
        <v>14</v>
      </c>
      <c r="C310" s="3">
        <v>2491.35</v>
      </c>
      <c r="D310" s="3">
        <v>2508</v>
      </c>
      <c r="E310" s="3">
        <v>2426.6</v>
      </c>
      <c r="F310" s="3">
        <v>2463.15</v>
      </c>
      <c r="G310" s="3">
        <v>2452.1</v>
      </c>
      <c r="H310" s="3">
        <v>2457.0500000000002</v>
      </c>
      <c r="I310" s="3">
        <v>2456.14</v>
      </c>
      <c r="J310" s="3">
        <v>3743.9</v>
      </c>
      <c r="K310" s="3">
        <v>2025</v>
      </c>
      <c r="L310" s="1" t="s">
        <v>469</v>
      </c>
      <c r="M310" s="1" t="s">
        <v>470</v>
      </c>
      <c r="N310" s="1" t="s">
        <v>471</v>
      </c>
      <c r="O310" s="7">
        <f t="shared" si="16"/>
        <v>-0.24765036640074328</v>
      </c>
      <c r="P310" s="8">
        <f t="shared" si="17"/>
        <v>81.400000000000091</v>
      </c>
      <c r="Q310" s="7">
        <f t="shared" si="18"/>
        <v>24.70359436839032</v>
      </c>
      <c r="R310" s="7">
        <f t="shared" si="19"/>
        <v>-34.371911642939182</v>
      </c>
    </row>
    <row r="311" spans="1:18" ht="14.4" customHeight="1">
      <c r="A311" s="2">
        <v>45629</v>
      </c>
      <c r="B311" s="1" t="s">
        <v>14</v>
      </c>
      <c r="C311" s="3">
        <v>2464</v>
      </c>
      <c r="D311" s="3">
        <v>2558</v>
      </c>
      <c r="E311" s="3">
        <v>2462.0500000000002</v>
      </c>
      <c r="F311" s="3">
        <v>2457.0500000000002</v>
      </c>
      <c r="G311" s="3">
        <v>2511</v>
      </c>
      <c r="H311" s="3">
        <v>2514.1999999999998</v>
      </c>
      <c r="I311" s="3">
        <v>2510.5700000000002</v>
      </c>
      <c r="J311" s="3">
        <v>3743.9</v>
      </c>
      <c r="K311" s="3">
        <v>2025</v>
      </c>
      <c r="L311" s="1" t="s">
        <v>466</v>
      </c>
      <c r="M311" s="1" t="s">
        <v>467</v>
      </c>
      <c r="N311" s="1" t="s">
        <v>468</v>
      </c>
      <c r="O311" s="7">
        <f t="shared" si="16"/>
        <v>2.325959992674127</v>
      </c>
      <c r="P311" s="8">
        <f t="shared" si="17"/>
        <v>95.949999999999818</v>
      </c>
      <c r="Q311" s="7">
        <f t="shared" si="18"/>
        <v>25.412350149850148</v>
      </c>
      <c r="R311" s="7">
        <f t="shared" si="19"/>
        <v>-32.845428563797121</v>
      </c>
    </row>
    <row r="312" spans="1:18" ht="14.4" customHeight="1">
      <c r="A312" s="2">
        <v>45630</v>
      </c>
      <c r="B312" s="1" t="s">
        <v>14</v>
      </c>
      <c r="C312" s="3">
        <v>2528</v>
      </c>
      <c r="D312" s="3">
        <v>2530.0500000000002</v>
      </c>
      <c r="E312" s="3">
        <v>2470.1</v>
      </c>
      <c r="F312" s="3">
        <v>2514.1999999999998</v>
      </c>
      <c r="G312" s="3">
        <v>2485</v>
      </c>
      <c r="H312" s="3">
        <v>2494.75</v>
      </c>
      <c r="I312" s="3">
        <v>2496.08</v>
      </c>
      <c r="J312" s="3">
        <v>3743.9</v>
      </c>
      <c r="K312" s="3">
        <v>2025</v>
      </c>
      <c r="L312" s="1" t="s">
        <v>463</v>
      </c>
      <c r="M312" s="1" t="s">
        <v>464</v>
      </c>
      <c r="N312" s="1" t="s">
        <v>465</v>
      </c>
      <c r="O312" s="7">
        <f t="shared" si="16"/>
        <v>-0.77360591838357406</v>
      </c>
      <c r="P312" s="8">
        <f t="shared" si="17"/>
        <v>59.950000000000273</v>
      </c>
      <c r="Q312" s="7">
        <f t="shared" si="18"/>
        <v>21.216265855997683</v>
      </c>
      <c r="R312" s="7">
        <f t="shared" si="19"/>
        <v>-33.364940302892713</v>
      </c>
    </row>
    <row r="313" spans="1:18" ht="14.4" customHeight="1">
      <c r="A313" s="2">
        <v>45631</v>
      </c>
      <c r="B313" s="1" t="s">
        <v>14</v>
      </c>
      <c r="C313" s="3">
        <v>2505</v>
      </c>
      <c r="D313" s="3">
        <v>2538.15</v>
      </c>
      <c r="E313" s="3">
        <v>2470.25</v>
      </c>
      <c r="F313" s="3">
        <v>2494.75</v>
      </c>
      <c r="G313" s="3">
        <v>2520.9</v>
      </c>
      <c r="H313" s="3">
        <v>2522.5500000000002</v>
      </c>
      <c r="I313" s="3">
        <v>2504.4</v>
      </c>
      <c r="J313" s="3">
        <v>3743.9</v>
      </c>
      <c r="K313" s="3">
        <v>2025</v>
      </c>
      <c r="L313" s="1" t="s">
        <v>460</v>
      </c>
      <c r="M313" s="1" t="s">
        <v>461</v>
      </c>
      <c r="N313" s="1" t="s">
        <v>462</v>
      </c>
      <c r="O313" s="7">
        <f t="shared" si="16"/>
        <v>1.114340114239911</v>
      </c>
      <c r="P313" s="8">
        <f t="shared" si="17"/>
        <v>67.900000000000091</v>
      </c>
      <c r="Q313" s="7">
        <f t="shared" si="18"/>
        <v>20.703272130984622</v>
      </c>
      <c r="R313" s="7">
        <f t="shared" si="19"/>
        <v>-32.622399102540129</v>
      </c>
    </row>
    <row r="314" spans="1:18" ht="14.4" customHeight="1">
      <c r="A314" s="2">
        <v>45632</v>
      </c>
      <c r="B314" s="1" t="s">
        <v>14</v>
      </c>
      <c r="C314" s="3">
        <v>2520</v>
      </c>
      <c r="D314" s="3">
        <v>2535</v>
      </c>
      <c r="E314" s="3">
        <v>2502.5</v>
      </c>
      <c r="F314" s="3">
        <v>2522.5500000000002</v>
      </c>
      <c r="G314" s="3">
        <v>2504.9</v>
      </c>
      <c r="H314" s="3">
        <v>2506.4</v>
      </c>
      <c r="I314" s="3">
        <v>2517.4299999999998</v>
      </c>
      <c r="J314" s="3">
        <v>3743.9</v>
      </c>
      <c r="K314" s="3">
        <v>2025</v>
      </c>
      <c r="L314" s="1" t="s">
        <v>458</v>
      </c>
      <c r="M314" s="1" t="s">
        <v>459</v>
      </c>
      <c r="N314" s="4">
        <v>56172</v>
      </c>
      <c r="O314" s="7">
        <f t="shared" si="16"/>
        <v>-0.64022516897584147</v>
      </c>
      <c r="P314" s="8">
        <f t="shared" si="17"/>
        <v>32.5</v>
      </c>
      <c r="Q314" s="7">
        <f t="shared" si="18"/>
        <v>22.082834864345227</v>
      </c>
      <c r="R314" s="7">
        <f t="shared" si="19"/>
        <v>-33.053767461737763</v>
      </c>
    </row>
    <row r="315" spans="1:18" ht="14.4" customHeight="1">
      <c r="A315" s="2">
        <v>45635</v>
      </c>
      <c r="B315" s="1" t="s">
        <v>14</v>
      </c>
      <c r="C315" s="3">
        <v>2507.9</v>
      </c>
      <c r="D315" s="3">
        <v>2526</v>
      </c>
      <c r="E315" s="3">
        <v>2483.15</v>
      </c>
      <c r="F315" s="3">
        <v>2506.4</v>
      </c>
      <c r="G315" s="3">
        <v>2494.8000000000002</v>
      </c>
      <c r="H315" s="3">
        <v>2495.85</v>
      </c>
      <c r="I315" s="3">
        <v>2503.59</v>
      </c>
      <c r="J315" s="3">
        <v>3743.9</v>
      </c>
      <c r="K315" s="3">
        <v>2025</v>
      </c>
      <c r="L315" s="1" t="s">
        <v>456</v>
      </c>
      <c r="M315" s="1" t="s">
        <v>457</v>
      </c>
      <c r="N315" s="4">
        <v>53488</v>
      </c>
      <c r="O315" s="7">
        <f t="shared" si="16"/>
        <v>-0.4209224385573006</v>
      </c>
      <c r="P315" s="8">
        <f t="shared" si="17"/>
        <v>42.849999999999909</v>
      </c>
      <c r="Q315" s="7">
        <f t="shared" si="18"/>
        <v>17.917458121447801</v>
      </c>
      <c r="R315" s="7">
        <f t="shared" si="19"/>
        <v>-33.335559176260055</v>
      </c>
    </row>
    <row r="316" spans="1:18" ht="14.4" customHeight="1">
      <c r="A316" s="2">
        <v>45636</v>
      </c>
      <c r="B316" s="1" t="s">
        <v>14</v>
      </c>
      <c r="C316" s="3">
        <v>2501</v>
      </c>
      <c r="D316" s="3">
        <v>2501</v>
      </c>
      <c r="E316" s="3">
        <v>2455</v>
      </c>
      <c r="F316" s="3">
        <v>2495.85</v>
      </c>
      <c r="G316" s="3">
        <v>2467.5</v>
      </c>
      <c r="H316" s="3">
        <v>2467.1999999999998</v>
      </c>
      <c r="I316" s="3">
        <v>2473.87</v>
      </c>
      <c r="J316" s="3">
        <v>3743.9</v>
      </c>
      <c r="K316" s="3">
        <v>2025</v>
      </c>
      <c r="L316" s="1" t="s">
        <v>454</v>
      </c>
      <c r="M316" s="1" t="s">
        <v>455</v>
      </c>
      <c r="N316" s="4">
        <v>56796</v>
      </c>
      <c r="O316" s="7">
        <f t="shared" si="16"/>
        <v>-1.1479055231684634</v>
      </c>
      <c r="P316" s="8">
        <f t="shared" si="17"/>
        <v>46</v>
      </c>
      <c r="Q316" s="7">
        <f t="shared" si="18"/>
        <v>19.716951898020987</v>
      </c>
      <c r="R316" s="7">
        <f t="shared" si="19"/>
        <v>-34.100803974465137</v>
      </c>
    </row>
    <row r="317" spans="1:18" ht="14.4" customHeight="1">
      <c r="A317" s="2">
        <v>45637</v>
      </c>
      <c r="B317" s="1" t="s">
        <v>14</v>
      </c>
      <c r="C317" s="3">
        <v>2469</v>
      </c>
      <c r="D317" s="3">
        <v>2480</v>
      </c>
      <c r="E317" s="3">
        <v>2451</v>
      </c>
      <c r="F317" s="3">
        <v>2467.1999999999998</v>
      </c>
      <c r="G317" s="3">
        <v>2455</v>
      </c>
      <c r="H317" s="3">
        <v>2457.25</v>
      </c>
      <c r="I317" s="3">
        <v>2461.5700000000002</v>
      </c>
      <c r="J317" s="3">
        <v>3743.9</v>
      </c>
      <c r="K317" s="3">
        <v>2025</v>
      </c>
      <c r="L317" s="1" t="s">
        <v>452</v>
      </c>
      <c r="M317" s="1" t="s">
        <v>453</v>
      </c>
      <c r="N317" s="4">
        <v>43901</v>
      </c>
      <c r="O317" s="7">
        <f t="shared" si="16"/>
        <v>-0.40329118028533639</v>
      </c>
      <c r="P317" s="8">
        <f t="shared" si="17"/>
        <v>29</v>
      </c>
      <c r="Q317" s="7">
        <f t="shared" si="18"/>
        <v>16.233662103368943</v>
      </c>
      <c r="R317" s="7">
        <f t="shared" si="19"/>
        <v>-34.366569619915069</v>
      </c>
    </row>
    <row r="318" spans="1:18" ht="14.4" customHeight="1">
      <c r="A318" s="2">
        <v>45638</v>
      </c>
      <c r="B318" s="1" t="s">
        <v>14</v>
      </c>
      <c r="C318" s="3">
        <v>2457</v>
      </c>
      <c r="D318" s="3">
        <v>2534.8000000000002</v>
      </c>
      <c r="E318" s="3">
        <v>2446.25</v>
      </c>
      <c r="F318" s="3">
        <v>2457.25</v>
      </c>
      <c r="G318" s="3">
        <v>2504</v>
      </c>
      <c r="H318" s="3">
        <v>2504.1</v>
      </c>
      <c r="I318" s="3">
        <v>2500.62</v>
      </c>
      <c r="J318" s="3">
        <v>3743.9</v>
      </c>
      <c r="K318" s="3">
        <v>2025</v>
      </c>
      <c r="L318" s="1" t="s">
        <v>449</v>
      </c>
      <c r="M318" s="1" t="s">
        <v>450</v>
      </c>
      <c r="N318" s="1" t="s">
        <v>451</v>
      </c>
      <c r="O318" s="7">
        <f t="shared" si="16"/>
        <v>1.9066029097568382</v>
      </c>
      <c r="P318" s="8">
        <f t="shared" si="17"/>
        <v>88.550000000000182</v>
      </c>
      <c r="Q318" s="7">
        <f t="shared" si="18"/>
        <v>18.908595135824548</v>
      </c>
      <c r="R318" s="7">
        <f t="shared" si="19"/>
        <v>-33.115200726515134</v>
      </c>
    </row>
    <row r="319" spans="1:18" ht="14.4" customHeight="1">
      <c r="A319" s="2">
        <v>45639</v>
      </c>
      <c r="B319" s="1" t="s">
        <v>14</v>
      </c>
      <c r="C319" s="3">
        <v>2504</v>
      </c>
      <c r="D319" s="3">
        <v>2545</v>
      </c>
      <c r="E319" s="3">
        <v>2479.0500000000002</v>
      </c>
      <c r="F319" s="3">
        <v>2504.1</v>
      </c>
      <c r="G319" s="3">
        <v>2527</v>
      </c>
      <c r="H319" s="3">
        <v>2527.5500000000002</v>
      </c>
      <c r="I319" s="3">
        <v>2516.13</v>
      </c>
      <c r="J319" s="3">
        <v>3743.9</v>
      </c>
      <c r="K319" s="3">
        <v>2025</v>
      </c>
      <c r="L319" s="1" t="s">
        <v>447</v>
      </c>
      <c r="M319" s="1" t="s">
        <v>448</v>
      </c>
      <c r="N319" s="4">
        <v>86754</v>
      </c>
      <c r="O319" s="7">
        <f t="shared" si="16"/>
        <v>0.9364641987141199</v>
      </c>
      <c r="P319" s="8">
        <f t="shared" si="17"/>
        <v>65.949999999999818</v>
      </c>
      <c r="Q319" s="7">
        <f t="shared" si="18"/>
        <v>22.372858888350969</v>
      </c>
      <c r="R319" s="7">
        <f t="shared" si="19"/>
        <v>-32.488848526937147</v>
      </c>
    </row>
    <row r="320" spans="1:18" ht="14.4" customHeight="1">
      <c r="A320" s="2">
        <v>45642</v>
      </c>
      <c r="B320" s="1" t="s">
        <v>14</v>
      </c>
      <c r="C320" s="3">
        <v>2530</v>
      </c>
      <c r="D320" s="3">
        <v>2537.5</v>
      </c>
      <c r="E320" s="3">
        <v>2503</v>
      </c>
      <c r="F320" s="3">
        <v>2527.5500000000002</v>
      </c>
      <c r="G320" s="3">
        <v>2507</v>
      </c>
      <c r="H320" s="3">
        <v>2512.4</v>
      </c>
      <c r="I320" s="3">
        <v>2518.0500000000002</v>
      </c>
      <c r="J320" s="3">
        <v>3743.9</v>
      </c>
      <c r="K320" s="3">
        <v>2025</v>
      </c>
      <c r="L320" s="1" t="s">
        <v>445</v>
      </c>
      <c r="M320" s="1" t="s">
        <v>446</v>
      </c>
      <c r="N320" s="4">
        <v>39040</v>
      </c>
      <c r="O320" s="7">
        <f t="shared" si="16"/>
        <v>-0.59939467072857477</v>
      </c>
      <c r="P320" s="8">
        <f t="shared" si="17"/>
        <v>34.5</v>
      </c>
      <c r="Q320" s="7">
        <f t="shared" si="18"/>
        <v>16.760271516393441</v>
      </c>
      <c r="R320" s="7">
        <f t="shared" si="19"/>
        <v>-32.893506771014181</v>
      </c>
    </row>
    <row r="321" spans="1:18" ht="14.4" customHeight="1">
      <c r="A321" s="2">
        <v>45643</v>
      </c>
      <c r="B321" s="1" t="s">
        <v>14</v>
      </c>
      <c r="C321" s="3">
        <v>2512</v>
      </c>
      <c r="D321" s="3">
        <v>2525</v>
      </c>
      <c r="E321" s="3">
        <v>2480.75</v>
      </c>
      <c r="F321" s="3">
        <v>2512.4</v>
      </c>
      <c r="G321" s="3">
        <v>2488.85</v>
      </c>
      <c r="H321" s="3">
        <v>2487.6</v>
      </c>
      <c r="I321" s="3">
        <v>2503.41</v>
      </c>
      <c r="J321" s="3">
        <v>3743.9</v>
      </c>
      <c r="K321" s="3">
        <v>2025</v>
      </c>
      <c r="L321" s="1" t="s">
        <v>443</v>
      </c>
      <c r="M321" s="1" t="s">
        <v>444</v>
      </c>
      <c r="N321" s="4">
        <v>52797</v>
      </c>
      <c r="O321" s="7">
        <f t="shared" si="16"/>
        <v>-0.98710396433689618</v>
      </c>
      <c r="P321" s="8">
        <f t="shared" si="17"/>
        <v>44.25</v>
      </c>
      <c r="Q321" s="7">
        <f t="shared" si="18"/>
        <v>20.112714737579786</v>
      </c>
      <c r="R321" s="7">
        <f t="shared" si="19"/>
        <v>-33.55591762600497</v>
      </c>
    </row>
    <row r="322" spans="1:18" ht="14.4" customHeight="1">
      <c r="A322" s="2">
        <v>45644</v>
      </c>
      <c r="B322" s="1" t="s">
        <v>14</v>
      </c>
      <c r="C322" s="3">
        <v>2489</v>
      </c>
      <c r="D322" s="3">
        <v>2496.6</v>
      </c>
      <c r="E322" s="3">
        <v>2452</v>
      </c>
      <c r="F322" s="3">
        <v>2487.6</v>
      </c>
      <c r="G322" s="3">
        <v>2459.5500000000002</v>
      </c>
      <c r="H322" s="3">
        <v>2457.4</v>
      </c>
      <c r="I322" s="3">
        <v>2469.89</v>
      </c>
      <c r="J322" s="3">
        <v>3743.9</v>
      </c>
      <c r="K322" s="3">
        <v>2025</v>
      </c>
      <c r="L322" s="1" t="s">
        <v>441</v>
      </c>
      <c r="M322" s="1" t="s">
        <v>442</v>
      </c>
      <c r="N322" s="4">
        <v>56893</v>
      </c>
      <c r="O322" s="7">
        <f t="shared" ref="O322:O385" si="20">((H322-F322)/F322)*100</f>
        <v>-1.2140215468724802</v>
      </c>
      <c r="P322" s="8">
        <f t="shared" ref="P322:P385" si="21">(D322-E322)</f>
        <v>44.599999999999909</v>
      </c>
      <c r="Q322" s="7">
        <f t="shared" ref="Q322:Q385" si="22">IF(N322=0,0,L322/N322)</f>
        <v>17.404900427117571</v>
      </c>
      <c r="R322" s="7">
        <f t="shared" ref="R322:R385" si="23">((H322-J322)/J322)*100</f>
        <v>-34.362563102646973</v>
      </c>
    </row>
    <row r="323" spans="1:18" ht="14.4" customHeight="1">
      <c r="A323" s="2">
        <v>45645</v>
      </c>
      <c r="B323" s="1" t="s">
        <v>14</v>
      </c>
      <c r="C323" s="3">
        <v>2429</v>
      </c>
      <c r="D323" s="3">
        <v>2434</v>
      </c>
      <c r="E323" s="3">
        <v>2397.1</v>
      </c>
      <c r="F323" s="3">
        <v>2457.4</v>
      </c>
      <c r="G323" s="3">
        <v>2421.9499999999998</v>
      </c>
      <c r="H323" s="3">
        <v>2419.35</v>
      </c>
      <c r="I323" s="3">
        <v>2417.59</v>
      </c>
      <c r="J323" s="3">
        <v>3743.9</v>
      </c>
      <c r="K323" s="3">
        <v>2025</v>
      </c>
      <c r="L323" s="1" t="s">
        <v>439</v>
      </c>
      <c r="M323" s="1" t="s">
        <v>440</v>
      </c>
      <c r="N323" s="4">
        <v>74211</v>
      </c>
      <c r="O323" s="7">
        <f t="shared" si="20"/>
        <v>-1.5483844713925361</v>
      </c>
      <c r="P323" s="8">
        <f t="shared" si="21"/>
        <v>36.900000000000091</v>
      </c>
      <c r="Q323" s="7">
        <f t="shared" si="22"/>
        <v>15.926183449892873</v>
      </c>
      <c r="R323" s="7">
        <f t="shared" si="23"/>
        <v>-35.378882982985658</v>
      </c>
    </row>
    <row r="324" spans="1:18" ht="14.4" customHeight="1">
      <c r="A324" s="2">
        <v>45646</v>
      </c>
      <c r="B324" s="1" t="s">
        <v>14</v>
      </c>
      <c r="C324" s="3">
        <v>2429</v>
      </c>
      <c r="D324" s="3">
        <v>2453.85</v>
      </c>
      <c r="E324" s="3">
        <v>2333</v>
      </c>
      <c r="F324" s="3">
        <v>2419.35</v>
      </c>
      <c r="G324" s="3">
        <v>2349.1999999999998</v>
      </c>
      <c r="H324" s="3">
        <v>2344.9499999999998</v>
      </c>
      <c r="I324" s="3">
        <v>2403.77</v>
      </c>
      <c r="J324" s="3">
        <v>3743.9</v>
      </c>
      <c r="K324" s="3">
        <v>2025</v>
      </c>
      <c r="L324" s="1" t="s">
        <v>437</v>
      </c>
      <c r="M324" s="1" t="s">
        <v>438</v>
      </c>
      <c r="N324" s="4">
        <v>75322</v>
      </c>
      <c r="O324" s="7">
        <f t="shared" si="20"/>
        <v>-3.0752061504123045</v>
      </c>
      <c r="P324" s="8">
        <f t="shared" si="21"/>
        <v>120.84999999999991</v>
      </c>
      <c r="Q324" s="7">
        <f t="shared" si="22"/>
        <v>17.750670454847189</v>
      </c>
      <c r="R324" s="7">
        <f t="shared" si="23"/>
        <v>-37.366115547958017</v>
      </c>
    </row>
    <row r="325" spans="1:18" ht="14.4" customHeight="1">
      <c r="A325" s="2">
        <v>45649</v>
      </c>
      <c r="B325" s="1" t="s">
        <v>14</v>
      </c>
      <c r="C325" s="3">
        <v>2373.9499999999998</v>
      </c>
      <c r="D325" s="3">
        <v>2379.5</v>
      </c>
      <c r="E325" s="3">
        <v>2332.75</v>
      </c>
      <c r="F325" s="3">
        <v>2344.9499999999998</v>
      </c>
      <c r="G325" s="3">
        <v>2346</v>
      </c>
      <c r="H325" s="3">
        <v>2338.9499999999998</v>
      </c>
      <c r="I325" s="3">
        <v>2351.63</v>
      </c>
      <c r="J325" s="3">
        <v>3743.9</v>
      </c>
      <c r="K325" s="3">
        <v>2025</v>
      </c>
      <c r="L325" s="1" t="s">
        <v>435</v>
      </c>
      <c r="M325" s="1" t="s">
        <v>436</v>
      </c>
      <c r="N325" s="4">
        <v>54920</v>
      </c>
      <c r="O325" s="7">
        <f t="shared" si="20"/>
        <v>-0.25586899507452188</v>
      </c>
      <c r="P325" s="8">
        <f t="shared" si="21"/>
        <v>46.75</v>
      </c>
      <c r="Q325" s="7">
        <f t="shared" si="22"/>
        <v>13.818645302257829</v>
      </c>
      <c r="R325" s="7">
        <f t="shared" si="23"/>
        <v>-37.5263762386816</v>
      </c>
    </row>
    <row r="326" spans="1:18" ht="14.4" customHeight="1">
      <c r="A326" s="2">
        <v>45650</v>
      </c>
      <c r="B326" s="1" t="s">
        <v>14</v>
      </c>
      <c r="C326" s="3">
        <v>2355.1999999999998</v>
      </c>
      <c r="D326" s="3">
        <v>2412.9</v>
      </c>
      <c r="E326" s="3">
        <v>2340</v>
      </c>
      <c r="F326" s="3">
        <v>2338.9499999999998</v>
      </c>
      <c r="G326" s="3">
        <v>2372</v>
      </c>
      <c r="H326" s="3">
        <v>2372.4499999999998</v>
      </c>
      <c r="I326" s="3">
        <v>2381.0500000000002</v>
      </c>
      <c r="J326" s="3">
        <v>3743.9</v>
      </c>
      <c r="K326" s="3">
        <v>2025</v>
      </c>
      <c r="L326" s="1" t="s">
        <v>433</v>
      </c>
      <c r="M326" s="1" t="s">
        <v>434</v>
      </c>
      <c r="N326" s="4">
        <v>70017</v>
      </c>
      <c r="O326" s="7">
        <f t="shared" si="20"/>
        <v>1.4322666153615942</v>
      </c>
      <c r="P326" s="8">
        <f t="shared" si="21"/>
        <v>72.900000000000091</v>
      </c>
      <c r="Q326" s="7">
        <f t="shared" si="22"/>
        <v>16.512932573517858</v>
      </c>
      <c r="R326" s="7">
        <f t="shared" si="23"/>
        <v>-36.631587382141625</v>
      </c>
    </row>
    <row r="327" spans="1:18" ht="14.4" customHeight="1">
      <c r="A327" s="2">
        <v>45652</v>
      </c>
      <c r="B327" s="1" t="s">
        <v>14</v>
      </c>
      <c r="C327" s="3">
        <v>2378.0500000000002</v>
      </c>
      <c r="D327" s="3">
        <v>2410</v>
      </c>
      <c r="E327" s="3">
        <v>2368</v>
      </c>
      <c r="F327" s="3">
        <v>2372.4499999999998</v>
      </c>
      <c r="G327" s="3">
        <v>2401</v>
      </c>
      <c r="H327" s="3">
        <v>2400.25</v>
      </c>
      <c r="I327" s="3">
        <v>2389.27</v>
      </c>
      <c r="J327" s="3">
        <v>3743.9</v>
      </c>
      <c r="K327" s="3">
        <v>2025</v>
      </c>
      <c r="L327" s="1" t="s">
        <v>431</v>
      </c>
      <c r="M327" s="1" t="s">
        <v>432</v>
      </c>
      <c r="N327" s="4">
        <v>63476</v>
      </c>
      <c r="O327" s="7">
        <f t="shared" si="20"/>
        <v>1.1717844422432584</v>
      </c>
      <c r="P327" s="8">
        <f t="shared" si="21"/>
        <v>42</v>
      </c>
      <c r="Q327" s="7">
        <f t="shared" si="22"/>
        <v>14.112184132585543</v>
      </c>
      <c r="R327" s="7">
        <f t="shared" si="23"/>
        <v>-35.889046181789048</v>
      </c>
    </row>
    <row r="328" spans="1:18" ht="14.4" customHeight="1">
      <c r="A328" s="2">
        <v>45653</v>
      </c>
      <c r="B328" s="1" t="s">
        <v>14</v>
      </c>
      <c r="C328" s="3">
        <v>2415</v>
      </c>
      <c r="D328" s="3">
        <v>2446.15</v>
      </c>
      <c r="E328" s="3">
        <v>2390.5</v>
      </c>
      <c r="F328" s="3">
        <v>2400.25</v>
      </c>
      <c r="G328" s="3">
        <v>2420</v>
      </c>
      <c r="H328" s="3">
        <v>2409.9499999999998</v>
      </c>
      <c r="I328" s="3">
        <v>2421</v>
      </c>
      <c r="J328" s="3">
        <v>3743.9</v>
      </c>
      <c r="K328" s="3">
        <v>2025</v>
      </c>
      <c r="L328" s="1" t="s">
        <v>429</v>
      </c>
      <c r="M328" s="1" t="s">
        <v>430</v>
      </c>
      <c r="N328" s="4">
        <v>73559</v>
      </c>
      <c r="O328" s="7">
        <f t="shared" si="20"/>
        <v>0.40412457035724692</v>
      </c>
      <c r="P328" s="8">
        <f t="shared" si="21"/>
        <v>55.650000000000091</v>
      </c>
      <c r="Q328" s="7">
        <f t="shared" si="22"/>
        <v>26.948313598607921</v>
      </c>
      <c r="R328" s="7">
        <f t="shared" si="23"/>
        <v>-35.629958065119268</v>
      </c>
    </row>
    <row r="329" spans="1:18" ht="14.4" customHeight="1">
      <c r="A329" s="2">
        <v>45656</v>
      </c>
      <c r="B329" s="1" t="s">
        <v>14</v>
      </c>
      <c r="C329" s="3">
        <v>2425</v>
      </c>
      <c r="D329" s="3">
        <v>2610</v>
      </c>
      <c r="E329" s="3">
        <v>2421.9499999999998</v>
      </c>
      <c r="F329" s="3">
        <v>2409.9499999999998</v>
      </c>
      <c r="G329" s="3">
        <v>2585</v>
      </c>
      <c r="H329" s="3">
        <v>2592.35</v>
      </c>
      <c r="I329" s="3">
        <v>2549.0700000000002</v>
      </c>
      <c r="J329" s="3">
        <v>3743.9</v>
      </c>
      <c r="K329" s="3">
        <v>2025</v>
      </c>
      <c r="L329" s="1" t="s">
        <v>426</v>
      </c>
      <c r="M329" s="1" t="s">
        <v>427</v>
      </c>
      <c r="N329" s="1" t="s">
        <v>428</v>
      </c>
      <c r="O329" s="7">
        <f t="shared" si="20"/>
        <v>7.5686217556380884</v>
      </c>
      <c r="P329" s="8">
        <f t="shared" si="21"/>
        <v>188.05000000000018</v>
      </c>
      <c r="Q329" s="7">
        <f t="shared" si="22"/>
        <v>23.083426747533863</v>
      </c>
      <c r="R329" s="7">
        <f t="shared" si="23"/>
        <v>-30.758033067122525</v>
      </c>
    </row>
    <row r="330" spans="1:18" ht="14.4" customHeight="1">
      <c r="A330" s="2">
        <v>45657</v>
      </c>
      <c r="B330" s="1" t="s">
        <v>14</v>
      </c>
      <c r="C330" s="3">
        <v>2575</v>
      </c>
      <c r="D330" s="3">
        <v>2577.75</v>
      </c>
      <c r="E330" s="3">
        <v>2507.4499999999998</v>
      </c>
      <c r="F330" s="3">
        <v>2592.35</v>
      </c>
      <c r="G330" s="3">
        <v>2530</v>
      </c>
      <c r="H330" s="3">
        <v>2528.65</v>
      </c>
      <c r="I330" s="3">
        <v>2531.14</v>
      </c>
      <c r="J330" s="3">
        <v>3743.9</v>
      </c>
      <c r="K330" s="3">
        <v>2025</v>
      </c>
      <c r="L330" s="1" t="s">
        <v>423</v>
      </c>
      <c r="M330" s="1" t="s">
        <v>424</v>
      </c>
      <c r="N330" s="1" t="s">
        <v>425</v>
      </c>
      <c r="O330" s="7">
        <f t="shared" si="20"/>
        <v>-2.4572299265145459</v>
      </c>
      <c r="P330" s="8">
        <f t="shared" si="21"/>
        <v>70.300000000000182</v>
      </c>
      <c r="Q330" s="7">
        <f t="shared" si="22"/>
        <v>22.101181660119774</v>
      </c>
      <c r="R330" s="7">
        <f t="shared" si="23"/>
        <v>-32.45946740030449</v>
      </c>
    </row>
    <row r="331" spans="1:18" ht="14.4" customHeight="1">
      <c r="A331" s="2">
        <v>45658</v>
      </c>
      <c r="B331" s="1" t="s">
        <v>14</v>
      </c>
      <c r="C331" s="3">
        <v>2536</v>
      </c>
      <c r="D331" s="3">
        <v>2644.2</v>
      </c>
      <c r="E331" s="3">
        <v>2518.25</v>
      </c>
      <c r="F331" s="3">
        <v>2528.65</v>
      </c>
      <c r="G331" s="3">
        <v>2545.9</v>
      </c>
      <c r="H331" s="3">
        <v>2554.85</v>
      </c>
      <c r="I331" s="3">
        <v>2561.31</v>
      </c>
      <c r="J331" s="3">
        <v>3743.9</v>
      </c>
      <c r="K331" s="3">
        <v>2025</v>
      </c>
      <c r="L331" s="1" t="s">
        <v>420</v>
      </c>
      <c r="M331" s="1" t="s">
        <v>421</v>
      </c>
      <c r="N331" s="1" t="s">
        <v>422</v>
      </c>
      <c r="O331" s="7">
        <f t="shared" si="20"/>
        <v>1.0361259960848601</v>
      </c>
      <c r="P331" s="8">
        <f t="shared" si="21"/>
        <v>125.94999999999982</v>
      </c>
      <c r="Q331" s="7">
        <f t="shared" si="22"/>
        <v>20.442739137852595</v>
      </c>
      <c r="R331" s="7">
        <f t="shared" si="23"/>
        <v>-31.759662384144882</v>
      </c>
    </row>
    <row r="332" spans="1:18" ht="14.4" customHeight="1">
      <c r="A332" s="2">
        <v>45659</v>
      </c>
      <c r="B332" s="1" t="s">
        <v>14</v>
      </c>
      <c r="C332" s="3">
        <v>2565.6999999999998</v>
      </c>
      <c r="D332" s="3">
        <v>2602</v>
      </c>
      <c r="E332" s="3">
        <v>2537</v>
      </c>
      <c r="F332" s="3">
        <v>2554.85</v>
      </c>
      <c r="G332" s="3">
        <v>2587.85</v>
      </c>
      <c r="H332" s="3">
        <v>2597.6999999999998</v>
      </c>
      <c r="I332" s="3">
        <v>2569.89</v>
      </c>
      <c r="J332" s="3">
        <v>3743.9</v>
      </c>
      <c r="K332" s="3">
        <v>2025</v>
      </c>
      <c r="L332" s="1" t="s">
        <v>418</v>
      </c>
      <c r="M332" s="1" t="s">
        <v>419</v>
      </c>
      <c r="N332" s="4">
        <v>73015</v>
      </c>
      <c r="O332" s="7">
        <f t="shared" si="20"/>
        <v>1.6772021840812537</v>
      </c>
      <c r="P332" s="8">
        <f t="shared" si="21"/>
        <v>65</v>
      </c>
      <c r="Q332" s="7">
        <f t="shared" si="22"/>
        <v>15.986249400808052</v>
      </c>
      <c r="R332" s="7">
        <f t="shared" si="23"/>
        <v>-30.615133951227335</v>
      </c>
    </row>
    <row r="333" spans="1:18" ht="14.4" customHeight="1">
      <c r="A333" s="2">
        <v>45660</v>
      </c>
      <c r="B333" s="1" t="s">
        <v>14</v>
      </c>
      <c r="C333" s="3">
        <v>2580</v>
      </c>
      <c r="D333" s="3">
        <v>2619</v>
      </c>
      <c r="E333" s="3">
        <v>2556.6</v>
      </c>
      <c r="F333" s="3">
        <v>2597.6999999999998</v>
      </c>
      <c r="G333" s="3">
        <v>2562</v>
      </c>
      <c r="H333" s="3">
        <v>2564.6</v>
      </c>
      <c r="I333" s="3">
        <v>2589.16</v>
      </c>
      <c r="J333" s="3">
        <v>3743.9</v>
      </c>
      <c r="K333" s="3">
        <v>2025</v>
      </c>
      <c r="L333" s="1" t="s">
        <v>416</v>
      </c>
      <c r="M333" s="1" t="s">
        <v>417</v>
      </c>
      <c r="N333" s="4">
        <v>52144</v>
      </c>
      <c r="O333" s="7">
        <f t="shared" si="20"/>
        <v>-1.274204103630131</v>
      </c>
      <c r="P333" s="8">
        <f t="shared" si="21"/>
        <v>62.400000000000091</v>
      </c>
      <c r="Q333" s="7">
        <f t="shared" si="22"/>
        <v>17.888827094200675</v>
      </c>
      <c r="R333" s="7">
        <f t="shared" si="23"/>
        <v>-31.499238761719067</v>
      </c>
    </row>
    <row r="334" spans="1:18" ht="14.4" customHeight="1">
      <c r="A334" s="2">
        <v>45663</v>
      </c>
      <c r="B334" s="1" t="s">
        <v>14</v>
      </c>
      <c r="C334" s="3">
        <v>2557.65</v>
      </c>
      <c r="D334" s="3">
        <v>2568.85</v>
      </c>
      <c r="E334" s="3">
        <v>2463.5</v>
      </c>
      <c r="F334" s="3">
        <v>2564.6</v>
      </c>
      <c r="G334" s="3">
        <v>2472</v>
      </c>
      <c r="H334" s="3">
        <v>2474.4499999999998</v>
      </c>
      <c r="I334" s="3">
        <v>2497.27</v>
      </c>
      <c r="J334" s="3">
        <v>3743.9</v>
      </c>
      <c r="K334" s="3">
        <v>2025</v>
      </c>
      <c r="L334" s="1" t="s">
        <v>414</v>
      </c>
      <c r="M334" s="1" t="s">
        <v>415</v>
      </c>
      <c r="N334" s="4">
        <v>88877</v>
      </c>
      <c r="O334" s="7">
        <f t="shared" si="20"/>
        <v>-3.5151680573968691</v>
      </c>
      <c r="P334" s="8">
        <f t="shared" si="21"/>
        <v>105.34999999999991</v>
      </c>
      <c r="Q334" s="7">
        <f t="shared" si="22"/>
        <v>12.617415079266852</v>
      </c>
      <c r="R334" s="7">
        <f t="shared" si="23"/>
        <v>-33.907155639840816</v>
      </c>
    </row>
    <row r="335" spans="1:18" ht="14.4" customHeight="1">
      <c r="A335" s="2">
        <v>45664</v>
      </c>
      <c r="B335" s="1" t="s">
        <v>14</v>
      </c>
      <c r="C335" s="3">
        <v>2474.65</v>
      </c>
      <c r="D335" s="3">
        <v>2525</v>
      </c>
      <c r="E335" s="3">
        <v>2474.65</v>
      </c>
      <c r="F335" s="3">
        <v>2474.4499999999998</v>
      </c>
      <c r="G335" s="3">
        <v>2524.8000000000002</v>
      </c>
      <c r="H335" s="3">
        <v>2520.5500000000002</v>
      </c>
      <c r="I335" s="3">
        <v>2510.58</v>
      </c>
      <c r="J335" s="3">
        <v>3743.9</v>
      </c>
      <c r="K335" s="3">
        <v>2025</v>
      </c>
      <c r="L335" s="1" t="s">
        <v>412</v>
      </c>
      <c r="M335" s="1" t="s">
        <v>413</v>
      </c>
      <c r="N335" s="4">
        <v>69952</v>
      </c>
      <c r="O335" s="7">
        <f t="shared" si="20"/>
        <v>1.8630402715755163</v>
      </c>
      <c r="P335" s="8">
        <f t="shared" si="21"/>
        <v>50.349999999999909</v>
      </c>
      <c r="Q335" s="7">
        <f t="shared" si="22"/>
        <v>14.569004460201281</v>
      </c>
      <c r="R335" s="7">
        <f t="shared" si="23"/>
        <v>-32.675819332781316</v>
      </c>
    </row>
    <row r="336" spans="1:18" ht="14.4" customHeight="1">
      <c r="A336" s="2">
        <v>45665</v>
      </c>
      <c r="B336" s="1" t="s">
        <v>14</v>
      </c>
      <c r="C336" s="3">
        <v>2520.5500000000002</v>
      </c>
      <c r="D336" s="3">
        <v>2530</v>
      </c>
      <c r="E336" s="3">
        <v>2490</v>
      </c>
      <c r="F336" s="3">
        <v>2520.5500000000002</v>
      </c>
      <c r="G336" s="3">
        <v>2511.1999999999998</v>
      </c>
      <c r="H336" s="3">
        <v>2515.25</v>
      </c>
      <c r="I336" s="3">
        <v>2509.14</v>
      </c>
      <c r="J336" s="3">
        <v>3743.9</v>
      </c>
      <c r="K336" s="3">
        <v>2025</v>
      </c>
      <c r="L336" s="1" t="s">
        <v>410</v>
      </c>
      <c r="M336" s="1" t="s">
        <v>411</v>
      </c>
      <c r="N336" s="4">
        <v>74141</v>
      </c>
      <c r="O336" s="7">
        <f t="shared" si="20"/>
        <v>-0.21027156771340311</v>
      </c>
      <c r="P336" s="8">
        <f t="shared" si="21"/>
        <v>40</v>
      </c>
      <c r="Q336" s="7">
        <f t="shared" si="22"/>
        <v>11.86443398389555</v>
      </c>
      <c r="R336" s="7">
        <f t="shared" si="23"/>
        <v>-32.817382942920489</v>
      </c>
    </row>
    <row r="337" spans="1:18" ht="14.4" customHeight="1">
      <c r="A337" s="2">
        <v>45666</v>
      </c>
      <c r="B337" s="1" t="s">
        <v>14</v>
      </c>
      <c r="C337" s="3">
        <v>2517</v>
      </c>
      <c r="D337" s="3">
        <v>2517.5500000000002</v>
      </c>
      <c r="E337" s="3">
        <v>2469.5</v>
      </c>
      <c r="F337" s="3">
        <v>2515.25</v>
      </c>
      <c r="G337" s="3">
        <v>2484.85</v>
      </c>
      <c r="H337" s="3">
        <v>2477.9</v>
      </c>
      <c r="I337" s="3">
        <v>2487.61</v>
      </c>
      <c r="J337" s="3">
        <v>3743.9</v>
      </c>
      <c r="K337" s="3">
        <v>2025</v>
      </c>
      <c r="L337" s="1" t="s">
        <v>408</v>
      </c>
      <c r="M337" s="1" t="s">
        <v>409</v>
      </c>
      <c r="N337" s="4">
        <v>60127</v>
      </c>
      <c r="O337" s="7">
        <f t="shared" si="20"/>
        <v>-1.4849418546864093</v>
      </c>
      <c r="P337" s="8">
        <f t="shared" si="21"/>
        <v>48.050000000000182</v>
      </c>
      <c r="Q337" s="7">
        <f t="shared" si="22"/>
        <v>11.739118865068937</v>
      </c>
      <c r="R337" s="7">
        <f t="shared" si="23"/>
        <v>-33.815005742674749</v>
      </c>
    </row>
    <row r="338" spans="1:18" ht="14.4" customHeight="1">
      <c r="A338" s="2">
        <v>45667</v>
      </c>
      <c r="B338" s="1" t="s">
        <v>14</v>
      </c>
      <c r="C338" s="3">
        <v>2480</v>
      </c>
      <c r="D338" s="3">
        <v>2484.6</v>
      </c>
      <c r="E338" s="3">
        <v>2368.25</v>
      </c>
      <c r="F338" s="3">
        <v>2477.9</v>
      </c>
      <c r="G338" s="3">
        <v>2380.1</v>
      </c>
      <c r="H338" s="3">
        <v>2374.4</v>
      </c>
      <c r="I338" s="3">
        <v>2407.11</v>
      </c>
      <c r="J338" s="3">
        <v>3743.9</v>
      </c>
      <c r="K338" s="3">
        <v>2025</v>
      </c>
      <c r="L338" s="1" t="s">
        <v>405</v>
      </c>
      <c r="M338" s="1" t="s">
        <v>406</v>
      </c>
      <c r="N338" s="1" t="s">
        <v>407</v>
      </c>
      <c r="O338" s="7">
        <f t="shared" si="20"/>
        <v>-4.1769240082327777</v>
      </c>
      <c r="P338" s="8">
        <f t="shared" si="21"/>
        <v>116.34999999999991</v>
      </c>
      <c r="Q338" s="7">
        <f t="shared" si="22"/>
        <v>13.02315847445959</v>
      </c>
      <c r="R338" s="7">
        <f t="shared" si="23"/>
        <v>-36.579502657656455</v>
      </c>
    </row>
    <row r="339" spans="1:18" ht="14.4" customHeight="1">
      <c r="A339" s="2">
        <v>45670</v>
      </c>
      <c r="B339" s="1" t="s">
        <v>14</v>
      </c>
      <c r="C339" s="3">
        <v>2365</v>
      </c>
      <c r="D339" s="3">
        <v>2365</v>
      </c>
      <c r="E339" s="3">
        <v>2216.9</v>
      </c>
      <c r="F339" s="3">
        <v>2374.4</v>
      </c>
      <c r="G339" s="3">
        <v>2227</v>
      </c>
      <c r="H339" s="3">
        <v>2225.15</v>
      </c>
      <c r="I339" s="3">
        <v>2280.87</v>
      </c>
      <c r="J339" s="3">
        <v>3743.9</v>
      </c>
      <c r="K339" s="3">
        <v>2025</v>
      </c>
      <c r="L339" s="1" t="s">
        <v>402</v>
      </c>
      <c r="M339" s="1" t="s">
        <v>403</v>
      </c>
      <c r="N339" s="1" t="s">
        <v>404</v>
      </c>
      <c r="O339" s="7">
        <f t="shared" si="20"/>
        <v>-6.2857985175202149</v>
      </c>
      <c r="P339" s="8">
        <f t="shared" si="21"/>
        <v>148.09999999999991</v>
      </c>
      <c r="Q339" s="7">
        <f t="shared" si="22"/>
        <v>14.869530818065696</v>
      </c>
      <c r="R339" s="7">
        <f t="shared" si="23"/>
        <v>-40.565987339405432</v>
      </c>
    </row>
    <row r="340" spans="1:18" ht="14.4" customHeight="1">
      <c r="A340" s="2">
        <v>45671</v>
      </c>
      <c r="B340" s="1" t="s">
        <v>14</v>
      </c>
      <c r="C340" s="3">
        <v>2241.5</v>
      </c>
      <c r="D340" s="3">
        <v>2422.9</v>
      </c>
      <c r="E340" s="3">
        <v>2241.5</v>
      </c>
      <c r="F340" s="3">
        <v>2225.15</v>
      </c>
      <c r="G340" s="3">
        <v>2382</v>
      </c>
      <c r="H340" s="3">
        <v>2380.5500000000002</v>
      </c>
      <c r="I340" s="3">
        <v>2370.6799999999998</v>
      </c>
      <c r="J340" s="3">
        <v>3743.9</v>
      </c>
      <c r="K340" s="3">
        <v>2025</v>
      </c>
      <c r="L340" s="1" t="s">
        <v>399</v>
      </c>
      <c r="M340" s="1" t="s">
        <v>400</v>
      </c>
      <c r="N340" s="1" t="s">
        <v>401</v>
      </c>
      <c r="O340" s="7">
        <f t="shared" si="20"/>
        <v>6.9837988450216884</v>
      </c>
      <c r="P340" s="8">
        <f t="shared" si="21"/>
        <v>181.40000000000009</v>
      </c>
      <c r="Q340" s="7">
        <f t="shared" si="22"/>
        <v>17.227675790477065</v>
      </c>
      <c r="R340" s="7">
        <f t="shared" si="23"/>
        <v>-36.415235449664785</v>
      </c>
    </row>
    <row r="341" spans="1:18" ht="14.4" customHeight="1">
      <c r="A341" s="2">
        <v>45672</v>
      </c>
      <c r="B341" s="1" t="s">
        <v>14</v>
      </c>
      <c r="C341" s="3">
        <v>2399</v>
      </c>
      <c r="D341" s="3">
        <v>2421.9499999999998</v>
      </c>
      <c r="E341" s="3">
        <v>2372.65</v>
      </c>
      <c r="F341" s="3">
        <v>2380.5500000000002</v>
      </c>
      <c r="G341" s="3">
        <v>2377.6999999999998</v>
      </c>
      <c r="H341" s="3">
        <v>2388.15</v>
      </c>
      <c r="I341" s="3">
        <v>2394.1</v>
      </c>
      <c r="J341" s="3">
        <v>3743.9</v>
      </c>
      <c r="K341" s="3">
        <v>2025</v>
      </c>
      <c r="L341" s="1" t="s">
        <v>397</v>
      </c>
      <c r="M341" s="1" t="s">
        <v>398</v>
      </c>
      <c r="N341" s="4">
        <v>89565</v>
      </c>
      <c r="O341" s="7">
        <f t="shared" si="20"/>
        <v>0.31925395391820832</v>
      </c>
      <c r="P341" s="8">
        <f t="shared" si="21"/>
        <v>49.299999999999727</v>
      </c>
      <c r="Q341" s="7">
        <f t="shared" si="22"/>
        <v>15.870451627309775</v>
      </c>
      <c r="R341" s="7">
        <f t="shared" si="23"/>
        <v>-36.212238574748255</v>
      </c>
    </row>
    <row r="342" spans="1:18" ht="14.4" customHeight="1">
      <c r="A342" s="2">
        <v>45673</v>
      </c>
      <c r="B342" s="1" t="s">
        <v>14</v>
      </c>
      <c r="C342" s="3">
        <v>2500</v>
      </c>
      <c r="D342" s="3">
        <v>2570</v>
      </c>
      <c r="E342" s="3">
        <v>2418.85</v>
      </c>
      <c r="F342" s="3">
        <v>2388.15</v>
      </c>
      <c r="G342" s="3">
        <v>2433</v>
      </c>
      <c r="H342" s="3">
        <v>2427.85</v>
      </c>
      <c r="I342" s="3">
        <v>2461.44</v>
      </c>
      <c r="J342" s="3">
        <v>3743.9</v>
      </c>
      <c r="K342" s="3">
        <v>2025</v>
      </c>
      <c r="L342" s="1" t="s">
        <v>394</v>
      </c>
      <c r="M342" s="1" t="s">
        <v>395</v>
      </c>
      <c r="N342" s="1" t="s">
        <v>396</v>
      </c>
      <c r="O342" s="7">
        <f t="shared" si="20"/>
        <v>1.6623746414588623</v>
      </c>
      <c r="P342" s="8">
        <f t="shared" si="21"/>
        <v>151.15000000000009</v>
      </c>
      <c r="Q342" s="7">
        <f t="shared" si="22"/>
        <v>16.799000975379069</v>
      </c>
      <c r="R342" s="7">
        <f t="shared" si="23"/>
        <v>-35.151847004460599</v>
      </c>
    </row>
    <row r="343" spans="1:18" ht="14.4" customHeight="1">
      <c r="A343" s="2">
        <v>45674</v>
      </c>
      <c r="B343" s="1" t="s">
        <v>14</v>
      </c>
      <c r="C343" s="3">
        <v>2450</v>
      </c>
      <c r="D343" s="3">
        <v>2450</v>
      </c>
      <c r="E343" s="3">
        <v>2380.0500000000002</v>
      </c>
      <c r="F343" s="3">
        <v>2427.85</v>
      </c>
      <c r="G343" s="3">
        <v>2399.5</v>
      </c>
      <c r="H343" s="3">
        <v>2399.8000000000002</v>
      </c>
      <c r="I343" s="3">
        <v>2404.16</v>
      </c>
      <c r="J343" s="3">
        <v>3743.9</v>
      </c>
      <c r="K343" s="3">
        <v>2025</v>
      </c>
      <c r="L343" s="1" t="s">
        <v>392</v>
      </c>
      <c r="M343" s="1" t="s">
        <v>393</v>
      </c>
      <c r="N343" s="4">
        <v>72852</v>
      </c>
      <c r="O343" s="7">
        <f t="shared" si="20"/>
        <v>-1.1553432048932071</v>
      </c>
      <c r="P343" s="8">
        <f t="shared" si="21"/>
        <v>69.949999999999818</v>
      </c>
      <c r="Q343" s="7">
        <f t="shared" si="22"/>
        <v>15.403901059682644</v>
      </c>
      <c r="R343" s="7">
        <f t="shared" si="23"/>
        <v>-35.901065733593306</v>
      </c>
    </row>
    <row r="344" spans="1:18" ht="14.4" customHeight="1">
      <c r="A344" s="2">
        <v>45677</v>
      </c>
      <c r="B344" s="1" t="s">
        <v>14</v>
      </c>
      <c r="C344" s="3">
        <v>2413.75</v>
      </c>
      <c r="D344" s="3">
        <v>2454</v>
      </c>
      <c r="E344" s="3">
        <v>2390</v>
      </c>
      <c r="F344" s="3">
        <v>2399.8000000000002</v>
      </c>
      <c r="G344" s="3">
        <v>2434.1</v>
      </c>
      <c r="H344" s="3">
        <v>2442.8000000000002</v>
      </c>
      <c r="I344" s="3">
        <v>2424.85</v>
      </c>
      <c r="J344" s="3">
        <v>3743.9</v>
      </c>
      <c r="K344" s="3">
        <v>2025</v>
      </c>
      <c r="L344" s="1" t="s">
        <v>390</v>
      </c>
      <c r="M344" s="1" t="s">
        <v>391</v>
      </c>
      <c r="N344" s="4">
        <v>62157</v>
      </c>
      <c r="O344" s="7">
        <f t="shared" si="20"/>
        <v>1.7918159846653885</v>
      </c>
      <c r="P344" s="8">
        <f t="shared" si="21"/>
        <v>64</v>
      </c>
      <c r="Q344" s="7">
        <f t="shared" si="22"/>
        <v>16.722734366201713</v>
      </c>
      <c r="R344" s="7">
        <f t="shared" si="23"/>
        <v>-34.752530783407678</v>
      </c>
    </row>
    <row r="345" spans="1:18" ht="14.4" customHeight="1">
      <c r="A345" s="2">
        <v>45678</v>
      </c>
      <c r="B345" s="1" t="s">
        <v>14</v>
      </c>
      <c r="C345" s="3">
        <v>2441.75</v>
      </c>
      <c r="D345" s="3">
        <v>2441.75</v>
      </c>
      <c r="E345" s="3">
        <v>2373.65</v>
      </c>
      <c r="F345" s="3">
        <v>2442.8000000000002</v>
      </c>
      <c r="G345" s="3">
        <v>2375</v>
      </c>
      <c r="H345" s="3">
        <v>2384.3000000000002</v>
      </c>
      <c r="I345" s="3">
        <v>2398.89</v>
      </c>
      <c r="J345" s="3">
        <v>3743.9</v>
      </c>
      <c r="K345" s="3">
        <v>2025</v>
      </c>
      <c r="L345" s="1" t="s">
        <v>388</v>
      </c>
      <c r="M345" s="1" t="s">
        <v>389</v>
      </c>
      <c r="N345" s="4">
        <v>75686</v>
      </c>
      <c r="O345" s="7">
        <f t="shared" si="20"/>
        <v>-2.394792860651711</v>
      </c>
      <c r="P345" s="8">
        <f t="shared" si="21"/>
        <v>68.099999999999909</v>
      </c>
      <c r="Q345" s="7">
        <f t="shared" si="22"/>
        <v>15.94101947520017</v>
      </c>
      <c r="R345" s="7">
        <f t="shared" si="23"/>
        <v>-36.315072517962548</v>
      </c>
    </row>
    <row r="346" spans="1:18" ht="14.4" customHeight="1">
      <c r="A346" s="2">
        <v>45679</v>
      </c>
      <c r="B346" s="1" t="s">
        <v>14</v>
      </c>
      <c r="C346" s="3">
        <v>2399</v>
      </c>
      <c r="D346" s="3">
        <v>2399</v>
      </c>
      <c r="E346" s="3">
        <v>2325.15</v>
      </c>
      <c r="F346" s="3">
        <v>2384.3000000000002</v>
      </c>
      <c r="G346" s="3">
        <v>2377</v>
      </c>
      <c r="H346" s="3">
        <v>2376.5500000000002</v>
      </c>
      <c r="I346" s="3">
        <v>2350.04</v>
      </c>
      <c r="J346" s="3">
        <v>3743.9</v>
      </c>
      <c r="K346" s="3">
        <v>2025</v>
      </c>
      <c r="L346" s="1" t="s">
        <v>386</v>
      </c>
      <c r="M346" s="1" t="s">
        <v>387</v>
      </c>
      <c r="N346" s="4">
        <v>70492</v>
      </c>
      <c r="O346" s="7">
        <f t="shared" si="20"/>
        <v>-0.32504298955668331</v>
      </c>
      <c r="P346" s="8">
        <f t="shared" si="21"/>
        <v>73.849999999999909</v>
      </c>
      <c r="Q346" s="7">
        <f t="shared" si="22"/>
        <v>16.276088066730978</v>
      </c>
      <c r="R346" s="7">
        <f t="shared" si="23"/>
        <v>-36.522075910147166</v>
      </c>
    </row>
    <row r="347" spans="1:18" ht="14.4" customHeight="1">
      <c r="A347" s="2">
        <v>45680</v>
      </c>
      <c r="B347" s="1" t="s">
        <v>14</v>
      </c>
      <c r="C347" s="3">
        <v>2383</v>
      </c>
      <c r="D347" s="3">
        <v>2405.15</v>
      </c>
      <c r="E347" s="3">
        <v>2355</v>
      </c>
      <c r="F347" s="3">
        <v>2376.5500000000002</v>
      </c>
      <c r="G347" s="3">
        <v>2376.3000000000002</v>
      </c>
      <c r="H347" s="3">
        <v>2385</v>
      </c>
      <c r="I347" s="3">
        <v>2383.4699999999998</v>
      </c>
      <c r="J347" s="3">
        <v>3743.9</v>
      </c>
      <c r="K347" s="3">
        <v>2025</v>
      </c>
      <c r="L347" s="1" t="s">
        <v>384</v>
      </c>
      <c r="M347" s="1" t="s">
        <v>385</v>
      </c>
      <c r="N347" s="4">
        <v>57688</v>
      </c>
      <c r="O347" s="7">
        <f t="shared" si="20"/>
        <v>0.35555742568007481</v>
      </c>
      <c r="P347" s="8">
        <f t="shared" si="21"/>
        <v>50.150000000000091</v>
      </c>
      <c r="Q347" s="7">
        <f t="shared" si="22"/>
        <v>14.330900707252809</v>
      </c>
      <c r="R347" s="7">
        <f t="shared" si="23"/>
        <v>-36.296375437378138</v>
      </c>
    </row>
    <row r="348" spans="1:18" ht="14.4" customHeight="1">
      <c r="A348" s="2">
        <v>45681</v>
      </c>
      <c r="B348" s="1" t="s">
        <v>14</v>
      </c>
      <c r="C348" s="3">
        <v>2387.75</v>
      </c>
      <c r="D348" s="3">
        <v>2406</v>
      </c>
      <c r="E348" s="3">
        <v>2299.4</v>
      </c>
      <c r="F348" s="3">
        <v>2385</v>
      </c>
      <c r="G348" s="3">
        <v>2314.0500000000002</v>
      </c>
      <c r="H348" s="3">
        <v>2315.1</v>
      </c>
      <c r="I348" s="3">
        <v>2350.0500000000002</v>
      </c>
      <c r="J348" s="3">
        <v>3743.9</v>
      </c>
      <c r="K348" s="3">
        <v>2025</v>
      </c>
      <c r="L348" s="1" t="s">
        <v>382</v>
      </c>
      <c r="M348" s="1" t="s">
        <v>383</v>
      </c>
      <c r="N348" s="4">
        <v>82631</v>
      </c>
      <c r="O348" s="7">
        <f t="shared" si="20"/>
        <v>-2.9308176100628969</v>
      </c>
      <c r="P348" s="8">
        <f t="shared" si="21"/>
        <v>106.59999999999991</v>
      </c>
      <c r="Q348" s="7">
        <f t="shared" si="22"/>
        <v>16.804625382725611</v>
      </c>
      <c r="R348" s="7">
        <f t="shared" si="23"/>
        <v>-38.163412484307813</v>
      </c>
    </row>
    <row r="349" spans="1:18" ht="14.4" customHeight="1">
      <c r="A349" s="2">
        <v>45684</v>
      </c>
      <c r="B349" s="1" t="s">
        <v>14</v>
      </c>
      <c r="C349" s="3">
        <v>2310.0500000000002</v>
      </c>
      <c r="D349" s="3">
        <v>2318.1</v>
      </c>
      <c r="E349" s="3">
        <v>2250.0500000000002</v>
      </c>
      <c r="F349" s="3">
        <v>2315.1</v>
      </c>
      <c r="G349" s="3">
        <v>2259.0500000000002</v>
      </c>
      <c r="H349" s="3">
        <v>2259.6999999999998</v>
      </c>
      <c r="I349" s="3">
        <v>2283.92</v>
      </c>
      <c r="J349" s="3">
        <v>3743.9</v>
      </c>
      <c r="K349" s="3">
        <v>2025</v>
      </c>
      <c r="L349" s="1" t="s">
        <v>380</v>
      </c>
      <c r="M349" s="1" t="s">
        <v>381</v>
      </c>
      <c r="N349" s="4">
        <v>70412</v>
      </c>
      <c r="O349" s="7">
        <f t="shared" si="20"/>
        <v>-2.3929851842253074</v>
      </c>
      <c r="P349" s="8">
        <f t="shared" si="21"/>
        <v>68.049999999999727</v>
      </c>
      <c r="Q349" s="7">
        <f t="shared" si="22"/>
        <v>14.670723740271544</v>
      </c>
      <c r="R349" s="7">
        <f t="shared" si="23"/>
        <v>-39.643152861988838</v>
      </c>
    </row>
    <row r="350" spans="1:18" ht="14.4" customHeight="1">
      <c r="A350" s="2">
        <v>45685</v>
      </c>
      <c r="B350" s="1" t="s">
        <v>14</v>
      </c>
      <c r="C350" s="3">
        <v>2274.1999999999998</v>
      </c>
      <c r="D350" s="3">
        <v>2315.85</v>
      </c>
      <c r="E350" s="3">
        <v>2242</v>
      </c>
      <c r="F350" s="3">
        <v>2259.6999999999998</v>
      </c>
      <c r="G350" s="3">
        <v>2293.5</v>
      </c>
      <c r="H350" s="3">
        <v>2286.0500000000002</v>
      </c>
      <c r="I350" s="3">
        <v>2280.67</v>
      </c>
      <c r="J350" s="3">
        <v>3743.9</v>
      </c>
      <c r="K350" s="3">
        <v>2025</v>
      </c>
      <c r="L350" s="1" t="s">
        <v>378</v>
      </c>
      <c r="M350" s="1" t="s">
        <v>379</v>
      </c>
      <c r="N350" s="4">
        <v>68907</v>
      </c>
      <c r="O350" s="7">
        <f t="shared" si="20"/>
        <v>1.1660839934504741</v>
      </c>
      <c r="P350" s="8">
        <f t="shared" si="21"/>
        <v>73.849999999999909</v>
      </c>
      <c r="Q350" s="7">
        <f t="shared" si="22"/>
        <v>14.026107652343013</v>
      </c>
      <c r="R350" s="7">
        <f t="shared" si="23"/>
        <v>-38.93934132856112</v>
      </c>
    </row>
    <row r="351" spans="1:18" ht="14.4" customHeight="1">
      <c r="A351" s="2">
        <v>45686</v>
      </c>
      <c r="B351" s="1" t="s">
        <v>14</v>
      </c>
      <c r="C351" s="3">
        <v>2297</v>
      </c>
      <c r="D351" s="3">
        <v>2326.25</v>
      </c>
      <c r="E351" s="3">
        <v>2282.6</v>
      </c>
      <c r="F351" s="3">
        <v>2286.0500000000002</v>
      </c>
      <c r="G351" s="3">
        <v>2321.8000000000002</v>
      </c>
      <c r="H351" s="3">
        <v>2318.6</v>
      </c>
      <c r="I351" s="3">
        <v>2311.65</v>
      </c>
      <c r="J351" s="3">
        <v>3743.9</v>
      </c>
      <c r="K351" s="3">
        <v>2025</v>
      </c>
      <c r="L351" s="1" t="s">
        <v>376</v>
      </c>
      <c r="M351" s="1" t="s">
        <v>377</v>
      </c>
      <c r="N351" s="4">
        <v>54577</v>
      </c>
      <c r="O351" s="7">
        <f t="shared" si="20"/>
        <v>1.4238533715360435</v>
      </c>
      <c r="P351" s="8">
        <f t="shared" si="21"/>
        <v>43.650000000000091</v>
      </c>
      <c r="Q351" s="7">
        <f t="shared" si="22"/>
        <v>14.387379298972094</v>
      </c>
      <c r="R351" s="7">
        <f t="shared" si="23"/>
        <v>-38.069927081385721</v>
      </c>
    </row>
    <row r="352" spans="1:18" ht="14.4" customHeight="1">
      <c r="A352" s="2">
        <v>45687</v>
      </c>
      <c r="B352" s="1" t="s">
        <v>14</v>
      </c>
      <c r="C352" s="3">
        <v>2325</v>
      </c>
      <c r="D352" s="3">
        <v>2351.5</v>
      </c>
      <c r="E352" s="3">
        <v>2201.3000000000002</v>
      </c>
      <c r="F352" s="3">
        <v>2318.6</v>
      </c>
      <c r="G352" s="3">
        <v>2247.9</v>
      </c>
      <c r="H352" s="3">
        <v>2252.6</v>
      </c>
      <c r="I352" s="3">
        <v>2267.9299999999998</v>
      </c>
      <c r="J352" s="3">
        <v>3743.9</v>
      </c>
      <c r="K352" s="3">
        <v>2025</v>
      </c>
      <c r="L352" s="1" t="s">
        <v>373</v>
      </c>
      <c r="M352" s="1" t="s">
        <v>374</v>
      </c>
      <c r="N352" s="1" t="s">
        <v>375</v>
      </c>
      <c r="O352" s="7">
        <f t="shared" si="20"/>
        <v>-2.8465453290778919</v>
      </c>
      <c r="P352" s="8">
        <f t="shared" si="21"/>
        <v>150.19999999999982</v>
      </c>
      <c r="Q352" s="7">
        <f t="shared" si="22"/>
        <v>17.801304157429456</v>
      </c>
      <c r="R352" s="7">
        <f t="shared" si="23"/>
        <v>-39.832794679345071</v>
      </c>
    </row>
    <row r="353" spans="1:18" ht="14.4" customHeight="1">
      <c r="A353" s="2">
        <v>45688</v>
      </c>
      <c r="B353" s="1" t="s">
        <v>14</v>
      </c>
      <c r="C353" s="3">
        <v>2238.85</v>
      </c>
      <c r="D353" s="3">
        <v>2314.9499999999998</v>
      </c>
      <c r="E353" s="3">
        <v>2213.75</v>
      </c>
      <c r="F353" s="3">
        <v>2252.6</v>
      </c>
      <c r="G353" s="3">
        <v>2297</v>
      </c>
      <c r="H353" s="3">
        <v>2287.8000000000002</v>
      </c>
      <c r="I353" s="3">
        <v>2280.98</v>
      </c>
      <c r="J353" s="3">
        <v>3743.9</v>
      </c>
      <c r="K353" s="3">
        <v>2025</v>
      </c>
      <c r="L353" s="1" t="s">
        <v>371</v>
      </c>
      <c r="M353" s="1" t="s">
        <v>372</v>
      </c>
      <c r="N353" s="4">
        <v>96876</v>
      </c>
      <c r="O353" s="7">
        <f t="shared" si="20"/>
        <v>1.5626387285803192</v>
      </c>
      <c r="P353" s="8">
        <f t="shared" si="21"/>
        <v>101.19999999999982</v>
      </c>
      <c r="Q353" s="7">
        <f t="shared" si="22"/>
        <v>20.78270159791899</v>
      </c>
      <c r="R353" s="7">
        <f t="shared" si="23"/>
        <v>-38.892598627100078</v>
      </c>
    </row>
    <row r="354" spans="1:18" ht="14.4" customHeight="1">
      <c r="A354" s="2">
        <v>45689</v>
      </c>
      <c r="B354" s="1" t="s">
        <v>14</v>
      </c>
      <c r="C354" s="3">
        <v>2297</v>
      </c>
      <c r="D354" s="3">
        <v>2351.4499999999998</v>
      </c>
      <c r="E354" s="3">
        <v>2237.5500000000002</v>
      </c>
      <c r="F354" s="3">
        <v>2287.8000000000002</v>
      </c>
      <c r="G354" s="3">
        <v>2269.9499999999998</v>
      </c>
      <c r="H354" s="3">
        <v>2270</v>
      </c>
      <c r="I354" s="3">
        <v>2290.9899999999998</v>
      </c>
      <c r="J354" s="3">
        <v>3743.9</v>
      </c>
      <c r="K354" s="3">
        <v>2025</v>
      </c>
      <c r="L354" s="1" t="s">
        <v>369</v>
      </c>
      <c r="M354" s="1" t="s">
        <v>370</v>
      </c>
      <c r="N354" s="4">
        <v>60333</v>
      </c>
      <c r="O354" s="7">
        <f t="shared" si="20"/>
        <v>-0.77804003846490866</v>
      </c>
      <c r="P354" s="8">
        <f t="shared" si="21"/>
        <v>113.89999999999964</v>
      </c>
      <c r="Q354" s="7">
        <f t="shared" si="22"/>
        <v>16.365206437604627</v>
      </c>
      <c r="R354" s="7">
        <f t="shared" si="23"/>
        <v>-39.368038676246698</v>
      </c>
    </row>
    <row r="355" spans="1:18" ht="14.4" customHeight="1">
      <c r="A355" s="2">
        <v>45691</v>
      </c>
      <c r="B355" s="1" t="s">
        <v>14</v>
      </c>
      <c r="C355" s="3">
        <v>2266.75</v>
      </c>
      <c r="D355" s="3">
        <v>2279</v>
      </c>
      <c r="E355" s="3">
        <v>2213.9</v>
      </c>
      <c r="F355" s="3">
        <v>2270</v>
      </c>
      <c r="G355" s="3">
        <v>2266.9</v>
      </c>
      <c r="H355" s="3">
        <v>2261.85</v>
      </c>
      <c r="I355" s="3">
        <v>2247.6</v>
      </c>
      <c r="J355" s="3">
        <v>3743.9</v>
      </c>
      <c r="K355" s="3">
        <v>2025</v>
      </c>
      <c r="L355" s="1" t="s">
        <v>367</v>
      </c>
      <c r="M355" s="1" t="s">
        <v>368</v>
      </c>
      <c r="N355" s="4">
        <v>63131</v>
      </c>
      <c r="O355" s="7">
        <f t="shared" si="20"/>
        <v>-0.3590308370044093</v>
      </c>
      <c r="P355" s="8">
        <f t="shared" si="21"/>
        <v>65.099999999999909</v>
      </c>
      <c r="Q355" s="7">
        <f t="shared" si="22"/>
        <v>13.067146093044622</v>
      </c>
      <c r="R355" s="7">
        <f t="shared" si="23"/>
        <v>-39.585726114479556</v>
      </c>
    </row>
    <row r="356" spans="1:18" ht="14.4" customHeight="1">
      <c r="A356" s="2">
        <v>45692</v>
      </c>
      <c r="B356" s="1" t="s">
        <v>14</v>
      </c>
      <c r="C356" s="3">
        <v>2278.9</v>
      </c>
      <c r="D356" s="3">
        <v>2312</v>
      </c>
      <c r="E356" s="3">
        <v>2267.5500000000002</v>
      </c>
      <c r="F356" s="3">
        <v>2261.85</v>
      </c>
      <c r="G356" s="3">
        <v>2303.25</v>
      </c>
      <c r="H356" s="3">
        <v>2301.5</v>
      </c>
      <c r="I356" s="3">
        <v>2295.2600000000002</v>
      </c>
      <c r="J356" s="3">
        <v>3743.9</v>
      </c>
      <c r="K356" s="3">
        <v>2025</v>
      </c>
      <c r="L356" s="1" t="s">
        <v>365</v>
      </c>
      <c r="M356" s="1" t="s">
        <v>366</v>
      </c>
      <c r="N356" s="4">
        <v>55343</v>
      </c>
      <c r="O356" s="7">
        <f t="shared" si="20"/>
        <v>1.7529898092269642</v>
      </c>
      <c r="P356" s="8">
        <f t="shared" si="21"/>
        <v>44.449999999999818</v>
      </c>
      <c r="Q356" s="7">
        <f t="shared" si="22"/>
        <v>12.489149485933181</v>
      </c>
      <c r="R356" s="7">
        <f t="shared" si="23"/>
        <v>-38.526670049947917</v>
      </c>
    </row>
    <row r="357" spans="1:18" ht="14.4" customHeight="1">
      <c r="A357" s="2">
        <v>45693</v>
      </c>
      <c r="B357" s="1" t="s">
        <v>14</v>
      </c>
      <c r="C357" s="3">
        <v>2314.9499999999998</v>
      </c>
      <c r="D357" s="3">
        <v>2349.4</v>
      </c>
      <c r="E357" s="3">
        <v>2309.0500000000002</v>
      </c>
      <c r="F357" s="3">
        <v>2301.5</v>
      </c>
      <c r="G357" s="3">
        <v>2326.8000000000002</v>
      </c>
      <c r="H357" s="3">
        <v>2324.6</v>
      </c>
      <c r="I357" s="3">
        <v>2325.6</v>
      </c>
      <c r="J357" s="3">
        <v>3743.9</v>
      </c>
      <c r="K357" s="3">
        <v>2025</v>
      </c>
      <c r="L357" s="1" t="s">
        <v>363</v>
      </c>
      <c r="M357" s="1" t="s">
        <v>364</v>
      </c>
      <c r="N357" s="4">
        <v>43537</v>
      </c>
      <c r="O357" s="7">
        <f t="shared" si="20"/>
        <v>1.0036932435368198</v>
      </c>
      <c r="P357" s="8">
        <f t="shared" si="21"/>
        <v>40.349999999999909</v>
      </c>
      <c r="Q357" s="7">
        <f t="shared" si="22"/>
        <v>12.884213427659231</v>
      </c>
      <c r="R357" s="7">
        <f t="shared" si="23"/>
        <v>-37.909666390662153</v>
      </c>
    </row>
    <row r="358" spans="1:18" ht="14.4" customHeight="1">
      <c r="A358" s="2">
        <v>45694</v>
      </c>
      <c r="B358" s="1" t="s">
        <v>14</v>
      </c>
      <c r="C358" s="3">
        <v>2340</v>
      </c>
      <c r="D358" s="3">
        <v>2340</v>
      </c>
      <c r="E358" s="3">
        <v>2298.1999999999998</v>
      </c>
      <c r="F358" s="3">
        <v>2324.6</v>
      </c>
      <c r="G358" s="3">
        <v>2309</v>
      </c>
      <c r="H358" s="3">
        <v>2312.4499999999998</v>
      </c>
      <c r="I358" s="3">
        <v>2313.94</v>
      </c>
      <c r="J358" s="3">
        <v>3743.9</v>
      </c>
      <c r="K358" s="3">
        <v>2025</v>
      </c>
      <c r="L358" s="1" t="s">
        <v>361</v>
      </c>
      <c r="M358" s="1" t="s">
        <v>362</v>
      </c>
      <c r="N358" s="4">
        <v>56800</v>
      </c>
      <c r="O358" s="7">
        <f t="shared" si="20"/>
        <v>-0.52267056697926917</v>
      </c>
      <c r="P358" s="8">
        <f t="shared" si="21"/>
        <v>41.800000000000182</v>
      </c>
      <c r="Q358" s="7">
        <f t="shared" si="22"/>
        <v>11.981408450704226</v>
      </c>
      <c r="R358" s="7">
        <f t="shared" si="23"/>
        <v>-38.234194289377392</v>
      </c>
    </row>
    <row r="359" spans="1:18" ht="14.4" customHeight="1">
      <c r="A359" s="2">
        <v>45695</v>
      </c>
      <c r="B359" s="1" t="s">
        <v>14</v>
      </c>
      <c r="C359" s="3">
        <v>2312.4499999999998</v>
      </c>
      <c r="D359" s="3">
        <v>2374.9</v>
      </c>
      <c r="E359" s="3">
        <v>2307.35</v>
      </c>
      <c r="F359" s="3">
        <v>2312.4499999999998</v>
      </c>
      <c r="G359" s="3">
        <v>2340</v>
      </c>
      <c r="H359" s="3">
        <v>2338.8000000000002</v>
      </c>
      <c r="I359" s="3">
        <v>2340.71</v>
      </c>
      <c r="J359" s="3">
        <v>3743.9</v>
      </c>
      <c r="K359" s="3">
        <v>2025</v>
      </c>
      <c r="L359" s="1" t="s">
        <v>359</v>
      </c>
      <c r="M359" s="1" t="s">
        <v>360</v>
      </c>
      <c r="N359" s="4">
        <v>65292</v>
      </c>
      <c r="O359" s="7">
        <f t="shared" si="20"/>
        <v>1.1394840969534634</v>
      </c>
      <c r="P359" s="8">
        <f t="shared" si="21"/>
        <v>67.550000000000182</v>
      </c>
      <c r="Q359" s="7">
        <f t="shared" si="22"/>
        <v>13.675488574404215</v>
      </c>
      <c r="R359" s="7">
        <f t="shared" si="23"/>
        <v>-37.530382755949674</v>
      </c>
    </row>
    <row r="360" spans="1:18" ht="14.4" customHeight="1">
      <c r="A360" s="2">
        <v>45698</v>
      </c>
      <c r="B360" s="1" t="s">
        <v>14</v>
      </c>
      <c r="C360" s="3">
        <v>2350</v>
      </c>
      <c r="D360" s="3">
        <v>2350.9499999999998</v>
      </c>
      <c r="E360" s="3">
        <v>2280.1</v>
      </c>
      <c r="F360" s="3">
        <v>2338.8000000000002</v>
      </c>
      <c r="G360" s="3">
        <v>2287</v>
      </c>
      <c r="H360" s="3">
        <v>2290.8000000000002</v>
      </c>
      <c r="I360" s="3">
        <v>2299.96</v>
      </c>
      <c r="J360" s="3">
        <v>3743.9</v>
      </c>
      <c r="K360" s="3">
        <v>2025</v>
      </c>
      <c r="L360" s="1" t="s">
        <v>357</v>
      </c>
      <c r="M360" s="1" t="s">
        <v>358</v>
      </c>
      <c r="N360" s="4">
        <v>48267</v>
      </c>
      <c r="O360" s="7">
        <f t="shared" si="20"/>
        <v>-2.0523345305284759</v>
      </c>
      <c r="P360" s="8">
        <f t="shared" si="21"/>
        <v>70.849999999999909</v>
      </c>
      <c r="Q360" s="7">
        <f t="shared" si="22"/>
        <v>15.325336150993433</v>
      </c>
      <c r="R360" s="7">
        <f t="shared" si="23"/>
        <v>-38.81246828173829</v>
      </c>
    </row>
    <row r="361" spans="1:18" ht="14.4" customHeight="1">
      <c r="A361" s="2">
        <v>45699</v>
      </c>
      <c r="B361" s="1" t="s">
        <v>14</v>
      </c>
      <c r="C361" s="3">
        <v>2312</v>
      </c>
      <c r="D361" s="3">
        <v>2397</v>
      </c>
      <c r="E361" s="3">
        <v>2306</v>
      </c>
      <c r="F361" s="3">
        <v>2290.8000000000002</v>
      </c>
      <c r="G361" s="3">
        <v>2321</v>
      </c>
      <c r="H361" s="3">
        <v>2321.75</v>
      </c>
      <c r="I361" s="3">
        <v>2356.84</v>
      </c>
      <c r="J361" s="3">
        <v>3743.9</v>
      </c>
      <c r="K361" s="3">
        <v>2025</v>
      </c>
      <c r="L361" s="1" t="s">
        <v>354</v>
      </c>
      <c r="M361" s="1" t="s">
        <v>355</v>
      </c>
      <c r="N361" s="1" t="s">
        <v>356</v>
      </c>
      <c r="O361" s="7">
        <f t="shared" si="20"/>
        <v>1.3510563995110798</v>
      </c>
      <c r="P361" s="8">
        <f t="shared" si="21"/>
        <v>91</v>
      </c>
      <c r="Q361" s="7">
        <f t="shared" si="22"/>
        <v>22.511155664281642</v>
      </c>
      <c r="R361" s="7">
        <f t="shared" si="23"/>
        <v>-37.985790218755845</v>
      </c>
    </row>
    <row r="362" spans="1:18" ht="14.4" customHeight="1">
      <c r="A362" s="2">
        <v>45700</v>
      </c>
      <c r="B362" s="1" t="s">
        <v>14</v>
      </c>
      <c r="C362" s="3">
        <v>2325</v>
      </c>
      <c r="D362" s="3">
        <v>2378.4499999999998</v>
      </c>
      <c r="E362" s="3">
        <v>2281</v>
      </c>
      <c r="F362" s="3">
        <v>2321.75</v>
      </c>
      <c r="G362" s="3">
        <v>2357</v>
      </c>
      <c r="H362" s="3">
        <v>2353.4499999999998</v>
      </c>
      <c r="I362" s="3">
        <v>2330.04</v>
      </c>
      <c r="J362" s="3">
        <v>3743.9</v>
      </c>
      <c r="K362" s="3">
        <v>2025</v>
      </c>
      <c r="L362" s="1" t="s">
        <v>351</v>
      </c>
      <c r="M362" s="1" t="s">
        <v>352</v>
      </c>
      <c r="N362" s="1" t="s">
        <v>353</v>
      </c>
      <c r="O362" s="7">
        <f t="shared" si="20"/>
        <v>1.3653494131581703</v>
      </c>
      <c r="P362" s="8">
        <f t="shared" si="21"/>
        <v>97.449999999999818</v>
      </c>
      <c r="Q362" s="7">
        <f t="shared" si="22"/>
        <v>16.453858332056587</v>
      </c>
      <c r="R362" s="7">
        <f t="shared" si="23"/>
        <v>-37.139079569432951</v>
      </c>
    </row>
    <row r="363" spans="1:18" ht="14.4" customHeight="1">
      <c r="A363" s="2">
        <v>45701</v>
      </c>
      <c r="B363" s="1" t="s">
        <v>14</v>
      </c>
      <c r="C363" s="3">
        <v>2354</v>
      </c>
      <c r="D363" s="3">
        <v>2372.75</v>
      </c>
      <c r="E363" s="3">
        <v>2233.4</v>
      </c>
      <c r="F363" s="3">
        <v>2353.4499999999998</v>
      </c>
      <c r="G363" s="3">
        <v>2237.4499999999998</v>
      </c>
      <c r="H363" s="3">
        <v>2244.6999999999998</v>
      </c>
      <c r="I363" s="3">
        <v>2296.1999999999998</v>
      </c>
      <c r="J363" s="3">
        <v>3743.9</v>
      </c>
      <c r="K363" s="3">
        <v>2025</v>
      </c>
      <c r="L363" s="1" t="s">
        <v>348</v>
      </c>
      <c r="M363" s="1" t="s">
        <v>349</v>
      </c>
      <c r="N363" s="1" t="s">
        <v>350</v>
      </c>
      <c r="O363" s="7">
        <f t="shared" si="20"/>
        <v>-4.6208757356221719</v>
      </c>
      <c r="P363" s="8">
        <f t="shared" si="21"/>
        <v>139.34999999999991</v>
      </c>
      <c r="Q363" s="7">
        <f t="shared" si="22"/>
        <v>19.141894882123061</v>
      </c>
      <c r="R363" s="7">
        <f t="shared" si="23"/>
        <v>-40.043804588797784</v>
      </c>
    </row>
    <row r="364" spans="1:18" ht="14.4" customHeight="1">
      <c r="A364" s="2">
        <v>45702</v>
      </c>
      <c r="B364" s="1" t="s">
        <v>14</v>
      </c>
      <c r="C364" s="3">
        <v>2245.6999999999998</v>
      </c>
      <c r="D364" s="3">
        <v>2249.3000000000002</v>
      </c>
      <c r="E364" s="3">
        <v>2124.5500000000002</v>
      </c>
      <c r="F364" s="3">
        <v>2244.6999999999998</v>
      </c>
      <c r="G364" s="3">
        <v>2149</v>
      </c>
      <c r="H364" s="3">
        <v>2152.65</v>
      </c>
      <c r="I364" s="3">
        <v>2173.4299999999998</v>
      </c>
      <c r="J364" s="3">
        <v>3743.9</v>
      </c>
      <c r="K364" s="3">
        <v>2025</v>
      </c>
      <c r="L364" s="1" t="s">
        <v>345</v>
      </c>
      <c r="M364" s="1" t="s">
        <v>346</v>
      </c>
      <c r="N364" s="1" t="s">
        <v>347</v>
      </c>
      <c r="O364" s="7">
        <f t="shared" si="20"/>
        <v>-4.1007707043257335</v>
      </c>
      <c r="P364" s="8">
        <f t="shared" si="21"/>
        <v>124.75</v>
      </c>
      <c r="Q364" s="7">
        <f t="shared" si="22"/>
        <v>16.883676739320428</v>
      </c>
      <c r="R364" s="7">
        <f t="shared" si="23"/>
        <v>-42.502470685648653</v>
      </c>
    </row>
    <row r="365" spans="1:18" ht="14.4" customHeight="1">
      <c r="A365" s="2">
        <v>45705</v>
      </c>
      <c r="B365" s="1" t="s">
        <v>14</v>
      </c>
      <c r="C365" s="3">
        <v>2152.65</v>
      </c>
      <c r="D365" s="3">
        <v>2240.4</v>
      </c>
      <c r="E365" s="3">
        <v>2110.65</v>
      </c>
      <c r="F365" s="3">
        <v>2152.65</v>
      </c>
      <c r="G365" s="3">
        <v>2237.3000000000002</v>
      </c>
      <c r="H365" s="3">
        <v>2223.6999999999998</v>
      </c>
      <c r="I365" s="3">
        <v>2180.52</v>
      </c>
      <c r="J365" s="3">
        <v>3743.9</v>
      </c>
      <c r="K365" s="3">
        <v>2025</v>
      </c>
      <c r="L365" s="1" t="s">
        <v>342</v>
      </c>
      <c r="M365" s="1" t="s">
        <v>343</v>
      </c>
      <c r="N365" s="1" t="s">
        <v>344</v>
      </c>
      <c r="O365" s="7">
        <f t="shared" si="20"/>
        <v>3.3005830023459333</v>
      </c>
      <c r="P365" s="8">
        <f t="shared" si="21"/>
        <v>129.75</v>
      </c>
      <c r="Q365" s="7">
        <f t="shared" si="22"/>
        <v>13.733117551861115</v>
      </c>
      <c r="R365" s="7">
        <f t="shared" si="23"/>
        <v>-40.604717006330304</v>
      </c>
    </row>
    <row r="366" spans="1:18" ht="14.4" customHeight="1">
      <c r="A366" s="2">
        <v>45706</v>
      </c>
      <c r="B366" s="1" t="s">
        <v>14</v>
      </c>
      <c r="C366" s="3">
        <v>2240</v>
      </c>
      <c r="D366" s="3">
        <v>2240</v>
      </c>
      <c r="E366" s="3">
        <v>2166.0500000000002</v>
      </c>
      <c r="F366" s="3">
        <v>2223.6999999999998</v>
      </c>
      <c r="G366" s="3">
        <v>2213.0500000000002</v>
      </c>
      <c r="H366" s="3">
        <v>2220.3000000000002</v>
      </c>
      <c r="I366" s="3">
        <v>2199.31</v>
      </c>
      <c r="J366" s="3">
        <v>3743.9</v>
      </c>
      <c r="K366" s="3">
        <v>2025</v>
      </c>
      <c r="L366" s="1" t="s">
        <v>340</v>
      </c>
      <c r="M366" s="1" t="s">
        <v>341</v>
      </c>
      <c r="N366" s="4">
        <v>75933</v>
      </c>
      <c r="O366" s="7">
        <f t="shared" si="20"/>
        <v>-0.15289832261544437</v>
      </c>
      <c r="P366" s="8">
        <f t="shared" si="21"/>
        <v>73.949999999999818</v>
      </c>
      <c r="Q366" s="7">
        <f t="shared" si="22"/>
        <v>14.988081598251091</v>
      </c>
      <c r="R366" s="7">
        <f t="shared" si="23"/>
        <v>-40.695531397740318</v>
      </c>
    </row>
    <row r="367" spans="1:18" ht="14.4" customHeight="1">
      <c r="A367" s="2">
        <v>45707</v>
      </c>
      <c r="B367" s="1" t="s">
        <v>14</v>
      </c>
      <c r="C367" s="3">
        <v>2166</v>
      </c>
      <c r="D367" s="3">
        <v>2219.4</v>
      </c>
      <c r="E367" s="3">
        <v>2127</v>
      </c>
      <c r="F367" s="3">
        <v>2220.3000000000002</v>
      </c>
      <c r="G367" s="3">
        <v>2177</v>
      </c>
      <c r="H367" s="3">
        <v>2180.8000000000002</v>
      </c>
      <c r="I367" s="3">
        <v>2187.5100000000002</v>
      </c>
      <c r="J367" s="3">
        <v>3743.9</v>
      </c>
      <c r="K367" s="3">
        <v>2025</v>
      </c>
      <c r="L367" s="1" t="s">
        <v>338</v>
      </c>
      <c r="M367" s="1" t="s">
        <v>339</v>
      </c>
      <c r="N367" s="4">
        <v>77627</v>
      </c>
      <c r="O367" s="7">
        <f t="shared" si="20"/>
        <v>-1.7790388686213572</v>
      </c>
      <c r="P367" s="8">
        <f t="shared" si="21"/>
        <v>92.400000000000091</v>
      </c>
      <c r="Q367" s="7">
        <f t="shared" si="22"/>
        <v>15.499285042575393</v>
      </c>
      <c r="R367" s="7">
        <f t="shared" si="23"/>
        <v>-41.750580945003868</v>
      </c>
    </row>
    <row r="368" spans="1:18" ht="14.4" customHeight="1">
      <c r="A368" s="2">
        <v>45708</v>
      </c>
      <c r="B368" s="1" t="s">
        <v>14</v>
      </c>
      <c r="C368" s="3">
        <v>2180.8000000000002</v>
      </c>
      <c r="D368" s="3">
        <v>2216.35</v>
      </c>
      <c r="E368" s="3">
        <v>2156.8000000000002</v>
      </c>
      <c r="F368" s="3">
        <v>2180.8000000000002</v>
      </c>
      <c r="G368" s="3">
        <v>2178</v>
      </c>
      <c r="H368" s="3">
        <v>2179</v>
      </c>
      <c r="I368" s="3">
        <v>2187.58</v>
      </c>
      <c r="J368" s="3">
        <v>3743.9</v>
      </c>
      <c r="K368" s="3">
        <v>2025</v>
      </c>
      <c r="L368" s="1" t="s">
        <v>336</v>
      </c>
      <c r="M368" s="1" t="s">
        <v>337</v>
      </c>
      <c r="N368" s="4">
        <v>74127</v>
      </c>
      <c r="O368" s="7">
        <f t="shared" si="20"/>
        <v>-8.2538517975063369E-2</v>
      </c>
      <c r="P368" s="8">
        <f t="shared" si="21"/>
        <v>59.549999999999727</v>
      </c>
      <c r="Q368" s="7">
        <f t="shared" si="22"/>
        <v>14.659570736708622</v>
      </c>
      <c r="R368" s="7">
        <f t="shared" si="23"/>
        <v>-41.798659152220949</v>
      </c>
    </row>
    <row r="369" spans="1:18" ht="14.4" customHeight="1">
      <c r="A369" s="2">
        <v>45709</v>
      </c>
      <c r="B369" s="1" t="s">
        <v>14</v>
      </c>
      <c r="C369" s="3">
        <v>2190.4499999999998</v>
      </c>
      <c r="D369" s="3">
        <v>2199.6</v>
      </c>
      <c r="E369" s="3">
        <v>2116.85</v>
      </c>
      <c r="F369" s="3">
        <v>2179</v>
      </c>
      <c r="G369" s="3">
        <v>2125</v>
      </c>
      <c r="H369" s="3">
        <v>2133.1</v>
      </c>
      <c r="I369" s="3">
        <v>2152.2399999999998</v>
      </c>
      <c r="J369" s="3">
        <v>3743.9</v>
      </c>
      <c r="K369" s="3">
        <v>2025</v>
      </c>
      <c r="L369" s="1" t="s">
        <v>334</v>
      </c>
      <c r="M369" s="1" t="s">
        <v>335</v>
      </c>
      <c r="N369" s="4">
        <v>85375</v>
      </c>
      <c r="O369" s="7">
        <f t="shared" si="20"/>
        <v>-2.1064708581918352</v>
      </c>
      <c r="P369" s="8">
        <f t="shared" si="21"/>
        <v>82.75</v>
      </c>
      <c r="Q369" s="7">
        <f t="shared" si="22"/>
        <v>18.04167496339678</v>
      </c>
      <c r="R369" s="7">
        <f t="shared" si="23"/>
        <v>-43.024653436256315</v>
      </c>
    </row>
    <row r="370" spans="1:18" ht="14.4" customHeight="1">
      <c r="A370" s="2">
        <v>45712</v>
      </c>
      <c r="B370" s="1" t="s">
        <v>14</v>
      </c>
      <c r="C370" s="3">
        <v>2128.9499999999998</v>
      </c>
      <c r="D370" s="3">
        <v>2138.5</v>
      </c>
      <c r="E370" s="3">
        <v>2096.6999999999998</v>
      </c>
      <c r="F370" s="3">
        <v>2133.1</v>
      </c>
      <c r="G370" s="3">
        <v>2114.9</v>
      </c>
      <c r="H370" s="3">
        <v>2115.15</v>
      </c>
      <c r="I370" s="3">
        <v>2116.2199999999998</v>
      </c>
      <c r="J370" s="3">
        <v>3743.9</v>
      </c>
      <c r="K370" s="3">
        <v>2025</v>
      </c>
      <c r="L370" s="1" t="s">
        <v>332</v>
      </c>
      <c r="M370" s="1" t="s">
        <v>333</v>
      </c>
      <c r="N370" s="4">
        <v>73399</v>
      </c>
      <c r="O370" s="7">
        <f t="shared" si="20"/>
        <v>-0.84149828887533729</v>
      </c>
      <c r="P370" s="8">
        <f t="shared" si="21"/>
        <v>41.800000000000182</v>
      </c>
      <c r="Q370" s="7">
        <f t="shared" si="22"/>
        <v>14.064142563250181</v>
      </c>
      <c r="R370" s="7">
        <f t="shared" si="23"/>
        <v>-43.504100002671009</v>
      </c>
    </row>
    <row r="371" spans="1:18" ht="14.4" customHeight="1">
      <c r="A371" s="2">
        <v>45713</v>
      </c>
      <c r="B371" s="1" t="s">
        <v>14</v>
      </c>
      <c r="C371" s="3">
        <v>2115.15</v>
      </c>
      <c r="D371" s="3">
        <v>2158.3000000000002</v>
      </c>
      <c r="E371" s="3">
        <v>2102</v>
      </c>
      <c r="F371" s="3">
        <v>2115.15</v>
      </c>
      <c r="G371" s="3">
        <v>2130</v>
      </c>
      <c r="H371" s="3">
        <v>2129.85</v>
      </c>
      <c r="I371" s="3">
        <v>2137.5500000000002</v>
      </c>
      <c r="J371" s="3">
        <v>3743.9</v>
      </c>
      <c r="K371" s="3">
        <v>2025</v>
      </c>
      <c r="L371" s="1" t="s">
        <v>330</v>
      </c>
      <c r="M371" s="1" t="s">
        <v>331</v>
      </c>
      <c r="N371" s="4">
        <v>56102</v>
      </c>
      <c r="O371" s="7">
        <f t="shared" si="20"/>
        <v>0.69498617119352368</v>
      </c>
      <c r="P371" s="8">
        <f t="shared" si="21"/>
        <v>56.300000000000182</v>
      </c>
      <c r="Q371" s="7">
        <f t="shared" si="22"/>
        <v>14.297725571280882</v>
      </c>
      <c r="R371" s="7">
        <f t="shared" si="23"/>
        <v>-43.111461310398255</v>
      </c>
    </row>
    <row r="372" spans="1:18" ht="14.4" customHeight="1">
      <c r="A372" s="2">
        <v>45715</v>
      </c>
      <c r="B372" s="1" t="s">
        <v>14</v>
      </c>
      <c r="C372" s="3">
        <v>2143.75</v>
      </c>
      <c r="D372" s="3">
        <v>2149.1</v>
      </c>
      <c r="E372" s="3">
        <v>2102.5</v>
      </c>
      <c r="F372" s="3">
        <v>2129.85</v>
      </c>
      <c r="G372" s="3">
        <v>2108</v>
      </c>
      <c r="H372" s="3">
        <v>2110.9499999999998</v>
      </c>
      <c r="I372" s="3">
        <v>2122.6</v>
      </c>
      <c r="J372" s="3">
        <v>3743.9</v>
      </c>
      <c r="K372" s="3">
        <v>2025</v>
      </c>
      <c r="L372" s="1" t="s">
        <v>328</v>
      </c>
      <c r="M372" s="1" t="s">
        <v>329</v>
      </c>
      <c r="N372" s="4">
        <v>63169</v>
      </c>
      <c r="O372" s="7">
        <f t="shared" si="20"/>
        <v>-0.88738643566448772</v>
      </c>
      <c r="P372" s="8">
        <f t="shared" si="21"/>
        <v>46.599999999999909</v>
      </c>
      <c r="Q372" s="7">
        <f t="shared" si="22"/>
        <v>14.911586379394956</v>
      </c>
      <c r="R372" s="7">
        <f t="shared" si="23"/>
        <v>-43.616282486177518</v>
      </c>
    </row>
    <row r="373" spans="1:18" ht="14.4" customHeight="1">
      <c r="A373" s="2">
        <v>45716</v>
      </c>
      <c r="B373" s="1" t="s">
        <v>14</v>
      </c>
      <c r="C373" s="3">
        <v>2107</v>
      </c>
      <c r="D373" s="3">
        <v>2111.35</v>
      </c>
      <c r="E373" s="3">
        <v>2072</v>
      </c>
      <c r="F373" s="3">
        <v>2110.9499999999998</v>
      </c>
      <c r="G373" s="3">
        <v>2097.5500000000002</v>
      </c>
      <c r="H373" s="3">
        <v>2096</v>
      </c>
      <c r="I373" s="3">
        <v>2093.84</v>
      </c>
      <c r="J373" s="3">
        <v>3743.9</v>
      </c>
      <c r="K373" s="3">
        <v>2025</v>
      </c>
      <c r="L373" s="1" t="s">
        <v>326</v>
      </c>
      <c r="M373" s="1" t="s">
        <v>327</v>
      </c>
      <c r="N373" s="4">
        <v>99109</v>
      </c>
      <c r="O373" s="7">
        <f t="shared" si="20"/>
        <v>-0.70821194249033936</v>
      </c>
      <c r="P373" s="8">
        <f t="shared" si="21"/>
        <v>39.349999999999909</v>
      </c>
      <c r="Q373" s="7">
        <f t="shared" si="22"/>
        <v>23.952638004621175</v>
      </c>
      <c r="R373" s="7">
        <f t="shared" si="23"/>
        <v>-44.015598707230431</v>
      </c>
    </row>
    <row r="374" spans="1:18" ht="14.4" customHeight="1">
      <c r="A374" s="2">
        <v>45719</v>
      </c>
      <c r="B374" s="1" t="s">
        <v>14</v>
      </c>
      <c r="C374" s="3">
        <v>2109</v>
      </c>
      <c r="D374" s="3">
        <v>2127.25</v>
      </c>
      <c r="E374" s="3">
        <v>2026.55</v>
      </c>
      <c r="F374" s="3">
        <v>2096</v>
      </c>
      <c r="G374" s="3">
        <v>2122</v>
      </c>
      <c r="H374" s="3">
        <v>2117.1</v>
      </c>
      <c r="I374" s="3">
        <v>2078.96</v>
      </c>
      <c r="J374" s="3">
        <v>3743.9</v>
      </c>
      <c r="K374" s="3">
        <v>2025</v>
      </c>
      <c r="L374" s="1" t="s">
        <v>323</v>
      </c>
      <c r="M374" s="1" t="s">
        <v>324</v>
      </c>
      <c r="N374" s="1" t="s">
        <v>325</v>
      </c>
      <c r="O374" s="7">
        <f t="shared" si="20"/>
        <v>1.0066793893129726</v>
      </c>
      <c r="P374" s="8">
        <f t="shared" si="21"/>
        <v>100.70000000000005</v>
      </c>
      <c r="Q374" s="7">
        <f t="shared" si="22"/>
        <v>15.055595469928722</v>
      </c>
      <c r="R374" s="7">
        <f t="shared" si="23"/>
        <v>-43.452015278185854</v>
      </c>
    </row>
    <row r="375" spans="1:18" ht="14.4" customHeight="1">
      <c r="A375" s="2">
        <v>45720</v>
      </c>
      <c r="B375" s="1" t="s">
        <v>14</v>
      </c>
      <c r="C375" s="3">
        <v>2085.1</v>
      </c>
      <c r="D375" s="3">
        <v>2154</v>
      </c>
      <c r="E375" s="3">
        <v>2080</v>
      </c>
      <c r="F375" s="3">
        <v>2117.1</v>
      </c>
      <c r="G375" s="3">
        <v>2147.6</v>
      </c>
      <c r="H375" s="3">
        <v>2144.8000000000002</v>
      </c>
      <c r="I375" s="3">
        <v>2133.91</v>
      </c>
      <c r="J375" s="3">
        <v>3743.9</v>
      </c>
      <c r="K375" s="3">
        <v>2025</v>
      </c>
      <c r="L375" s="1" t="s">
        <v>321</v>
      </c>
      <c r="M375" s="1" t="s">
        <v>322</v>
      </c>
      <c r="N375" s="4">
        <v>56864</v>
      </c>
      <c r="O375" s="7">
        <f t="shared" si="20"/>
        <v>1.3083935572245182</v>
      </c>
      <c r="P375" s="8">
        <f t="shared" si="21"/>
        <v>74</v>
      </c>
      <c r="Q375" s="7">
        <f t="shared" si="22"/>
        <v>15.000316544738324</v>
      </c>
      <c r="R375" s="7">
        <f t="shared" si="23"/>
        <v>-42.712145089345334</v>
      </c>
    </row>
    <row r="376" spans="1:18" ht="14.4" customHeight="1">
      <c r="A376" s="2">
        <v>45721</v>
      </c>
      <c r="B376" s="1" t="s">
        <v>14</v>
      </c>
      <c r="C376" s="3">
        <v>2153.9499999999998</v>
      </c>
      <c r="D376" s="3">
        <v>2258.4</v>
      </c>
      <c r="E376" s="3">
        <v>2148.0500000000002</v>
      </c>
      <c r="F376" s="3">
        <v>2144.8000000000002</v>
      </c>
      <c r="G376" s="3">
        <v>2242</v>
      </c>
      <c r="H376" s="3">
        <v>2245.85</v>
      </c>
      <c r="I376" s="3">
        <v>2219.6</v>
      </c>
      <c r="J376" s="3">
        <v>3743.9</v>
      </c>
      <c r="K376" s="3">
        <v>2025</v>
      </c>
      <c r="L376" s="1" t="s">
        <v>319</v>
      </c>
      <c r="M376" s="1" t="s">
        <v>320</v>
      </c>
      <c r="N376" s="4">
        <v>81480</v>
      </c>
      <c r="O376" s="7">
        <f t="shared" si="20"/>
        <v>4.7113950018649629</v>
      </c>
      <c r="P376" s="8">
        <f t="shared" si="21"/>
        <v>110.34999999999991</v>
      </c>
      <c r="Q376" s="7">
        <f t="shared" si="22"/>
        <v>16.815243004418264</v>
      </c>
      <c r="R376" s="7">
        <f t="shared" si="23"/>
        <v>-40.013087956409095</v>
      </c>
    </row>
    <row r="377" spans="1:18" ht="14.4" customHeight="1">
      <c r="A377" s="2">
        <v>45722</v>
      </c>
      <c r="B377" s="1" t="s">
        <v>14</v>
      </c>
      <c r="C377" s="3">
        <v>2260</v>
      </c>
      <c r="D377" s="3">
        <v>2268.9</v>
      </c>
      <c r="E377" s="3">
        <v>2226.15</v>
      </c>
      <c r="F377" s="3">
        <v>2245.85</v>
      </c>
      <c r="G377" s="3">
        <v>2251</v>
      </c>
      <c r="H377" s="3">
        <v>2252.85</v>
      </c>
      <c r="I377" s="3">
        <v>2250.92</v>
      </c>
      <c r="J377" s="3">
        <v>3743.9</v>
      </c>
      <c r="K377" s="3">
        <v>2025</v>
      </c>
      <c r="L377" s="1" t="s">
        <v>317</v>
      </c>
      <c r="M377" s="1" t="s">
        <v>318</v>
      </c>
      <c r="N377" s="4">
        <v>81763</v>
      </c>
      <c r="O377" s="7">
        <f t="shared" si="20"/>
        <v>0.31168599861967633</v>
      </c>
      <c r="P377" s="8">
        <f t="shared" si="21"/>
        <v>42.75</v>
      </c>
      <c r="Q377" s="7">
        <f t="shared" si="22"/>
        <v>10.888421413108619</v>
      </c>
      <c r="R377" s="7">
        <f t="shared" si="23"/>
        <v>-39.826117150564919</v>
      </c>
    </row>
    <row r="378" spans="1:18" ht="14.4" customHeight="1">
      <c r="A378" s="2">
        <v>45723</v>
      </c>
      <c r="B378" s="1" t="s">
        <v>14</v>
      </c>
      <c r="C378" s="3">
        <v>2249.9499999999998</v>
      </c>
      <c r="D378" s="3">
        <v>2267.65</v>
      </c>
      <c r="E378" s="3">
        <v>2227</v>
      </c>
      <c r="F378" s="3">
        <v>2252.85</v>
      </c>
      <c r="G378" s="3">
        <v>2249.5</v>
      </c>
      <c r="H378" s="3">
        <v>2247.5</v>
      </c>
      <c r="I378" s="3">
        <v>2247.94</v>
      </c>
      <c r="J378" s="3">
        <v>3743.9</v>
      </c>
      <c r="K378" s="3">
        <v>2025</v>
      </c>
      <c r="L378" s="1" t="s">
        <v>315</v>
      </c>
      <c r="M378" s="1" t="s">
        <v>316</v>
      </c>
      <c r="N378" s="4">
        <v>44934</v>
      </c>
      <c r="O378" s="7">
        <f t="shared" si="20"/>
        <v>-0.23747697361119957</v>
      </c>
      <c r="P378" s="8">
        <f t="shared" si="21"/>
        <v>40.650000000000091</v>
      </c>
      <c r="Q378" s="7">
        <f t="shared" si="22"/>
        <v>18.222415097698846</v>
      </c>
      <c r="R378" s="7">
        <f t="shared" si="23"/>
        <v>-39.969016266460109</v>
      </c>
    </row>
    <row r="379" spans="1:18" ht="14.4" customHeight="1">
      <c r="A379" s="2">
        <v>45726</v>
      </c>
      <c r="B379" s="1" t="s">
        <v>14</v>
      </c>
      <c r="C379" s="3">
        <v>2245</v>
      </c>
      <c r="D379" s="3">
        <v>2288</v>
      </c>
      <c r="E379" s="3">
        <v>2220</v>
      </c>
      <c r="F379" s="3">
        <v>2247.5</v>
      </c>
      <c r="G379" s="3">
        <v>2224.4</v>
      </c>
      <c r="H379" s="3">
        <v>2228.3000000000002</v>
      </c>
      <c r="I379" s="3">
        <v>2258.17</v>
      </c>
      <c r="J379" s="3">
        <v>3743.9</v>
      </c>
      <c r="K379" s="3">
        <v>2025</v>
      </c>
      <c r="L379" s="1" t="s">
        <v>313</v>
      </c>
      <c r="M379" s="1" t="s">
        <v>314</v>
      </c>
      <c r="N379" s="4">
        <v>57381</v>
      </c>
      <c r="O379" s="7">
        <f t="shared" si="20"/>
        <v>-0.85428253615127103</v>
      </c>
      <c r="P379" s="8">
        <f t="shared" si="21"/>
        <v>68</v>
      </c>
      <c r="Q379" s="7">
        <f t="shared" si="22"/>
        <v>16.383698436764782</v>
      </c>
      <c r="R379" s="7">
        <f t="shared" si="23"/>
        <v>-40.481850476775548</v>
      </c>
    </row>
    <row r="380" spans="1:18" ht="14.4" customHeight="1">
      <c r="A380" s="2">
        <v>45727</v>
      </c>
      <c r="B380" s="1" t="s">
        <v>14</v>
      </c>
      <c r="C380" s="3">
        <v>2223.15</v>
      </c>
      <c r="D380" s="3">
        <v>2267.85</v>
      </c>
      <c r="E380" s="3">
        <v>2208.3000000000002</v>
      </c>
      <c r="F380" s="3">
        <v>2228.3000000000002</v>
      </c>
      <c r="G380" s="3">
        <v>2252.65</v>
      </c>
      <c r="H380" s="3">
        <v>2250.6</v>
      </c>
      <c r="I380" s="3">
        <v>2251.19</v>
      </c>
      <c r="J380" s="3">
        <v>3743.9</v>
      </c>
      <c r="K380" s="3">
        <v>2025</v>
      </c>
      <c r="L380" s="1" t="s">
        <v>311</v>
      </c>
      <c r="M380" s="1" t="s">
        <v>312</v>
      </c>
      <c r="N380" s="4">
        <v>54661</v>
      </c>
      <c r="O380" s="7">
        <f t="shared" si="20"/>
        <v>1.0007629134317517</v>
      </c>
      <c r="P380" s="8">
        <f t="shared" si="21"/>
        <v>59.549999999999727</v>
      </c>
      <c r="Q380" s="7">
        <f t="shared" si="22"/>
        <v>17.326411884158723</v>
      </c>
      <c r="R380" s="7">
        <f t="shared" si="23"/>
        <v>-39.886214909586265</v>
      </c>
    </row>
    <row r="381" spans="1:18" ht="14.4" customHeight="1">
      <c r="A381" s="2">
        <v>45728</v>
      </c>
      <c r="B381" s="1" t="s">
        <v>14</v>
      </c>
      <c r="C381" s="3">
        <v>2270</v>
      </c>
      <c r="D381" s="3">
        <v>2280</v>
      </c>
      <c r="E381" s="3">
        <v>2180.9499999999998</v>
      </c>
      <c r="F381" s="3">
        <v>2250.6</v>
      </c>
      <c r="G381" s="3">
        <v>2236</v>
      </c>
      <c r="H381" s="3">
        <v>2241.8000000000002</v>
      </c>
      <c r="I381" s="3">
        <v>2230.69</v>
      </c>
      <c r="J381" s="3">
        <v>3743.9</v>
      </c>
      <c r="K381" s="3">
        <v>2025</v>
      </c>
      <c r="L381" s="1" t="s">
        <v>309</v>
      </c>
      <c r="M381" s="1" t="s">
        <v>310</v>
      </c>
      <c r="N381" s="4">
        <v>56794</v>
      </c>
      <c r="O381" s="7">
        <f t="shared" si="20"/>
        <v>-0.39100684261973373</v>
      </c>
      <c r="P381" s="8">
        <f t="shared" si="21"/>
        <v>99.050000000000182</v>
      </c>
      <c r="Q381" s="7">
        <f t="shared" si="22"/>
        <v>18.471599112582314</v>
      </c>
      <c r="R381" s="7">
        <f t="shared" si="23"/>
        <v>-40.121263922647508</v>
      </c>
    </row>
    <row r="382" spans="1:18" ht="14.4" customHeight="1">
      <c r="A382" s="2">
        <v>45729</v>
      </c>
      <c r="B382" s="1" t="s">
        <v>14</v>
      </c>
      <c r="C382" s="3">
        <v>2249</v>
      </c>
      <c r="D382" s="3">
        <v>2273</v>
      </c>
      <c r="E382" s="3">
        <v>2215.6</v>
      </c>
      <c r="F382" s="3">
        <v>2241.8000000000002</v>
      </c>
      <c r="G382" s="3">
        <v>2222.4499999999998</v>
      </c>
      <c r="H382" s="3">
        <v>2221.1</v>
      </c>
      <c r="I382" s="3">
        <v>2237.9</v>
      </c>
      <c r="J382" s="3">
        <v>3743.9</v>
      </c>
      <c r="K382" s="3">
        <v>2025</v>
      </c>
      <c r="L382" s="1" t="s">
        <v>307</v>
      </c>
      <c r="M382" s="1" t="s">
        <v>308</v>
      </c>
      <c r="N382" s="4">
        <v>52311</v>
      </c>
      <c r="O382" s="7">
        <f t="shared" si="20"/>
        <v>-0.92336515300206412</v>
      </c>
      <c r="P382" s="8">
        <f t="shared" si="21"/>
        <v>57.400000000000091</v>
      </c>
      <c r="Q382" s="7">
        <f t="shared" si="22"/>
        <v>14.343254764772228</v>
      </c>
      <c r="R382" s="7">
        <f t="shared" si="23"/>
        <v>-40.674163305643852</v>
      </c>
    </row>
    <row r="383" spans="1:18" ht="14.4" customHeight="1">
      <c r="A383" s="2">
        <v>45733</v>
      </c>
      <c r="B383" s="1" t="s">
        <v>14</v>
      </c>
      <c r="C383" s="3">
        <v>2200</v>
      </c>
      <c r="D383" s="3">
        <v>2286.9</v>
      </c>
      <c r="E383" s="3">
        <v>2198</v>
      </c>
      <c r="F383" s="3">
        <v>2221.1</v>
      </c>
      <c r="G383" s="3">
        <v>2251</v>
      </c>
      <c r="H383" s="3">
        <v>2252.6999999999998</v>
      </c>
      <c r="I383" s="3">
        <v>2255.7199999999998</v>
      </c>
      <c r="J383" s="3">
        <v>3743.9</v>
      </c>
      <c r="K383" s="3">
        <v>2025</v>
      </c>
      <c r="L383" s="1" t="s">
        <v>305</v>
      </c>
      <c r="M383" s="1" t="s">
        <v>306</v>
      </c>
      <c r="N383" s="4">
        <v>52613</v>
      </c>
      <c r="O383" s="7">
        <f t="shared" si="20"/>
        <v>1.4227184728287745</v>
      </c>
      <c r="P383" s="8">
        <f t="shared" si="21"/>
        <v>88.900000000000091</v>
      </c>
      <c r="Q383" s="7">
        <f t="shared" si="22"/>
        <v>17.63322752931785</v>
      </c>
      <c r="R383" s="7">
        <f t="shared" si="23"/>
        <v>-39.830123667833014</v>
      </c>
    </row>
    <row r="384" spans="1:18" ht="14.4" customHeight="1">
      <c r="A384" s="2">
        <v>45734</v>
      </c>
      <c r="B384" s="1" t="s">
        <v>14</v>
      </c>
      <c r="C384" s="3">
        <v>2274</v>
      </c>
      <c r="D384" s="3">
        <v>2314.1999999999998</v>
      </c>
      <c r="E384" s="3">
        <v>2259.75</v>
      </c>
      <c r="F384" s="3">
        <v>2252.6999999999998</v>
      </c>
      <c r="G384" s="3">
        <v>2304.5500000000002</v>
      </c>
      <c r="H384" s="3">
        <v>2308.5</v>
      </c>
      <c r="I384" s="3">
        <v>2291.19</v>
      </c>
      <c r="J384" s="3">
        <v>3743.9</v>
      </c>
      <c r="K384" s="3">
        <v>2025</v>
      </c>
      <c r="L384" s="1" t="s">
        <v>303</v>
      </c>
      <c r="M384" s="1" t="s">
        <v>304</v>
      </c>
      <c r="N384" s="4">
        <v>47968</v>
      </c>
      <c r="O384" s="7">
        <f t="shared" si="20"/>
        <v>2.4770275669197046</v>
      </c>
      <c r="P384" s="8">
        <f t="shared" si="21"/>
        <v>54.449999999999818</v>
      </c>
      <c r="Q384" s="7">
        <f t="shared" si="22"/>
        <v>18.304015176784524</v>
      </c>
      <c r="R384" s="7">
        <f t="shared" si="23"/>
        <v>-38.339699244103741</v>
      </c>
    </row>
    <row r="385" spans="1:18" ht="14.4" customHeight="1">
      <c r="A385" s="2">
        <v>45735</v>
      </c>
      <c r="B385" s="1" t="s">
        <v>14</v>
      </c>
      <c r="C385" s="3">
        <v>2319.9499999999998</v>
      </c>
      <c r="D385" s="3">
        <v>2342</v>
      </c>
      <c r="E385" s="3">
        <v>2311.0500000000002</v>
      </c>
      <c r="F385" s="3">
        <v>2308.5</v>
      </c>
      <c r="G385" s="3">
        <v>2316.9</v>
      </c>
      <c r="H385" s="3">
        <v>2318.65</v>
      </c>
      <c r="I385" s="3">
        <v>2324.6799999999998</v>
      </c>
      <c r="J385" s="3">
        <v>3743.9</v>
      </c>
      <c r="K385" s="3">
        <v>2025</v>
      </c>
      <c r="L385" s="1" t="s">
        <v>301</v>
      </c>
      <c r="M385" s="1" t="s">
        <v>302</v>
      </c>
      <c r="N385" s="4">
        <v>42002</v>
      </c>
      <c r="O385" s="7">
        <f t="shared" si="20"/>
        <v>0.43967944552740268</v>
      </c>
      <c r="P385" s="8">
        <f t="shared" si="21"/>
        <v>30.949999999999818</v>
      </c>
      <c r="Q385" s="7">
        <f t="shared" si="22"/>
        <v>24.530855673539357</v>
      </c>
      <c r="R385" s="7">
        <f t="shared" si="23"/>
        <v>-38.068591575629689</v>
      </c>
    </row>
    <row r="386" spans="1:18" ht="14.4" customHeight="1">
      <c r="A386" s="2">
        <v>45736</v>
      </c>
      <c r="B386" s="1" t="s">
        <v>14</v>
      </c>
      <c r="C386" s="3">
        <v>2348</v>
      </c>
      <c r="D386" s="3">
        <v>2348</v>
      </c>
      <c r="E386" s="3">
        <v>2299</v>
      </c>
      <c r="F386" s="3">
        <v>2318.65</v>
      </c>
      <c r="G386" s="3">
        <v>2338.0500000000002</v>
      </c>
      <c r="H386" s="3">
        <v>2339.3000000000002</v>
      </c>
      <c r="I386" s="3">
        <v>2330.0100000000002</v>
      </c>
      <c r="J386" s="3">
        <v>3743.9</v>
      </c>
      <c r="K386" s="3">
        <v>2025</v>
      </c>
      <c r="L386" s="1" t="s">
        <v>299</v>
      </c>
      <c r="M386" s="1" t="s">
        <v>300</v>
      </c>
      <c r="N386" s="4">
        <v>55254</v>
      </c>
      <c r="O386" s="7">
        <f t="shared" ref="O386:O449" si="24">((H386-F386)/F386)*100</f>
        <v>0.8906044465529549</v>
      </c>
      <c r="P386" s="8">
        <f t="shared" ref="P386:P449" si="25">(D386-E386)</f>
        <v>49</v>
      </c>
      <c r="Q386" s="7">
        <f t="shared" ref="Q386:Q449" si="26">IF(N386=0,0,L386/N386)</f>
        <v>46.821062728490247</v>
      </c>
      <c r="R386" s="7">
        <f t="shared" ref="R386:R449" si="27">((H386-J386)/J386)*100</f>
        <v>-37.517027698389377</v>
      </c>
    </row>
    <row r="387" spans="1:18" ht="14.4" customHeight="1">
      <c r="A387" s="2">
        <v>45737</v>
      </c>
      <c r="B387" s="1" t="s">
        <v>14</v>
      </c>
      <c r="C387" s="3">
        <v>2343.8000000000002</v>
      </c>
      <c r="D387" s="3">
        <v>2389.5500000000002</v>
      </c>
      <c r="E387" s="3">
        <v>2338</v>
      </c>
      <c r="F387" s="3">
        <v>2339.3000000000002</v>
      </c>
      <c r="G387" s="3">
        <v>2365</v>
      </c>
      <c r="H387" s="3">
        <v>2362.8000000000002</v>
      </c>
      <c r="I387" s="3">
        <v>2365.79</v>
      </c>
      <c r="J387" s="3">
        <v>3743.9</v>
      </c>
      <c r="K387" s="3">
        <v>2025</v>
      </c>
      <c r="L387" s="1" t="s">
        <v>297</v>
      </c>
      <c r="M387" s="1" t="s">
        <v>298</v>
      </c>
      <c r="N387" s="4">
        <v>55299</v>
      </c>
      <c r="O387" s="7">
        <f t="shared" si="24"/>
        <v>1.0045740178685931</v>
      </c>
      <c r="P387" s="8">
        <f t="shared" si="25"/>
        <v>51.550000000000182</v>
      </c>
      <c r="Q387" s="7">
        <f t="shared" si="26"/>
        <v>19.917503028987866</v>
      </c>
      <c r="R387" s="7">
        <f t="shared" si="27"/>
        <v>-36.889339993055366</v>
      </c>
    </row>
    <row r="388" spans="1:18" ht="14.4" customHeight="1">
      <c r="A388" s="2">
        <v>45740</v>
      </c>
      <c r="B388" s="1" t="s">
        <v>14</v>
      </c>
      <c r="C388" s="3">
        <v>2370</v>
      </c>
      <c r="D388" s="3">
        <v>2395</v>
      </c>
      <c r="E388" s="3">
        <v>2361.1</v>
      </c>
      <c r="F388" s="3">
        <v>2362.8000000000002</v>
      </c>
      <c r="G388" s="3">
        <v>2370</v>
      </c>
      <c r="H388" s="3">
        <v>2368.6999999999998</v>
      </c>
      <c r="I388" s="3">
        <v>2376.1999999999998</v>
      </c>
      <c r="J388" s="3">
        <v>3743.9</v>
      </c>
      <c r="K388" s="3">
        <v>2025</v>
      </c>
      <c r="L388" s="1" t="s">
        <v>295</v>
      </c>
      <c r="M388" s="1" t="s">
        <v>296</v>
      </c>
      <c r="N388" s="4">
        <v>39593</v>
      </c>
      <c r="O388" s="7">
        <f t="shared" si="24"/>
        <v>0.24970374132383763</v>
      </c>
      <c r="P388" s="8">
        <f t="shared" si="25"/>
        <v>33.900000000000091</v>
      </c>
      <c r="Q388" s="7">
        <f t="shared" si="26"/>
        <v>25.51420705680297</v>
      </c>
      <c r="R388" s="7">
        <f t="shared" si="27"/>
        <v>-36.731750313843861</v>
      </c>
    </row>
    <row r="389" spans="1:18" ht="14.4" customHeight="1">
      <c r="A389" s="2">
        <v>45741</v>
      </c>
      <c r="B389" s="1" t="s">
        <v>14</v>
      </c>
      <c r="C389" s="3">
        <v>2385</v>
      </c>
      <c r="D389" s="3">
        <v>2387.65</v>
      </c>
      <c r="E389" s="3">
        <v>2315.1</v>
      </c>
      <c r="F389" s="3">
        <v>2368.6999999999998</v>
      </c>
      <c r="G389" s="3">
        <v>2319.5</v>
      </c>
      <c r="H389" s="3">
        <v>2320.35</v>
      </c>
      <c r="I389" s="3">
        <v>2339.21</v>
      </c>
      <c r="J389" s="3">
        <v>3743.9</v>
      </c>
      <c r="K389" s="3">
        <v>2025</v>
      </c>
      <c r="L389" s="1" t="s">
        <v>293</v>
      </c>
      <c r="M389" s="1" t="s">
        <v>294</v>
      </c>
      <c r="N389" s="4">
        <v>46534</v>
      </c>
      <c r="O389" s="7">
        <f t="shared" si="24"/>
        <v>-2.0412040359690931</v>
      </c>
      <c r="P389" s="8">
        <f t="shared" si="25"/>
        <v>72.550000000000182</v>
      </c>
      <c r="Q389" s="7">
        <f t="shared" si="26"/>
        <v>16.398010057162505</v>
      </c>
      <c r="R389" s="7">
        <f t="shared" si="27"/>
        <v>-38.023184379924679</v>
      </c>
    </row>
    <row r="390" spans="1:18" ht="14.4" customHeight="1">
      <c r="A390" s="2">
        <v>45742</v>
      </c>
      <c r="B390" s="1" t="s">
        <v>14</v>
      </c>
      <c r="C390" s="3">
        <v>2324.9</v>
      </c>
      <c r="D390" s="3">
        <v>2359.85</v>
      </c>
      <c r="E390" s="3">
        <v>2308.0500000000002</v>
      </c>
      <c r="F390" s="3">
        <v>2320.35</v>
      </c>
      <c r="G390" s="3">
        <v>2314</v>
      </c>
      <c r="H390" s="3">
        <v>2312.6</v>
      </c>
      <c r="I390" s="3">
        <v>2332.77</v>
      </c>
      <c r="J390" s="3">
        <v>3743.9</v>
      </c>
      <c r="K390" s="3">
        <v>2025</v>
      </c>
      <c r="L390" s="1" t="s">
        <v>291</v>
      </c>
      <c r="M390" s="1" t="s">
        <v>292</v>
      </c>
      <c r="N390" s="4">
        <v>58779</v>
      </c>
      <c r="O390" s="7">
        <f t="shared" si="24"/>
        <v>-0.33400133600534404</v>
      </c>
      <c r="P390" s="8">
        <f t="shared" si="25"/>
        <v>51.799999999999727</v>
      </c>
      <c r="Q390" s="7">
        <f t="shared" si="26"/>
        <v>18.354684496163596</v>
      </c>
      <c r="R390" s="7">
        <f t="shared" si="27"/>
        <v>-38.230187772109304</v>
      </c>
    </row>
    <row r="391" spans="1:18" ht="14.4" customHeight="1">
      <c r="A391" s="2">
        <v>45743</v>
      </c>
      <c r="B391" s="1" t="s">
        <v>14</v>
      </c>
      <c r="C391" s="3">
        <v>2310</v>
      </c>
      <c r="D391" s="3">
        <v>2373.9</v>
      </c>
      <c r="E391" s="3">
        <v>2291.6</v>
      </c>
      <c r="F391" s="3">
        <v>2312.6</v>
      </c>
      <c r="G391" s="3">
        <v>2363</v>
      </c>
      <c r="H391" s="3">
        <v>2363.35</v>
      </c>
      <c r="I391" s="3">
        <v>2332.2600000000002</v>
      </c>
      <c r="J391" s="3">
        <v>3743.9</v>
      </c>
      <c r="K391" s="3">
        <v>2025</v>
      </c>
      <c r="L391" s="1" t="s">
        <v>289</v>
      </c>
      <c r="M391" s="1" t="s">
        <v>290</v>
      </c>
      <c r="N391" s="4">
        <v>81185</v>
      </c>
      <c r="O391" s="7">
        <f t="shared" si="24"/>
        <v>2.1944996973103867</v>
      </c>
      <c r="P391" s="8">
        <f t="shared" si="25"/>
        <v>82.300000000000182</v>
      </c>
      <c r="Q391" s="7">
        <f t="shared" si="26"/>
        <v>20.891075937673214</v>
      </c>
      <c r="R391" s="7">
        <f t="shared" si="27"/>
        <v>-36.874649429739051</v>
      </c>
    </row>
    <row r="392" spans="1:18" ht="14.4" customHeight="1">
      <c r="A392" s="2">
        <v>45744</v>
      </c>
      <c r="B392" s="1" t="s">
        <v>14</v>
      </c>
      <c r="C392" s="3">
        <v>2376</v>
      </c>
      <c r="D392" s="3">
        <v>2386.9499999999998</v>
      </c>
      <c r="E392" s="3">
        <v>2293.6999999999998</v>
      </c>
      <c r="F392" s="3">
        <v>2363.35</v>
      </c>
      <c r="G392" s="3">
        <v>2316.65</v>
      </c>
      <c r="H392" s="3">
        <v>2315.8000000000002</v>
      </c>
      <c r="I392" s="3">
        <v>2330.66</v>
      </c>
      <c r="J392" s="3">
        <v>3743.9</v>
      </c>
      <c r="K392" s="3">
        <v>2025</v>
      </c>
      <c r="L392" s="1" t="s">
        <v>287</v>
      </c>
      <c r="M392" s="1" t="s">
        <v>288</v>
      </c>
      <c r="N392" s="4">
        <v>70667</v>
      </c>
      <c r="O392" s="7">
        <f t="shared" si="24"/>
        <v>-2.01197452768315</v>
      </c>
      <c r="P392" s="8">
        <f t="shared" si="25"/>
        <v>93.25</v>
      </c>
      <c r="Q392" s="7">
        <f t="shared" si="26"/>
        <v>26.021141409710332</v>
      </c>
      <c r="R392" s="7">
        <f t="shared" si="27"/>
        <v>-38.144715403723389</v>
      </c>
    </row>
    <row r="393" spans="1:18" ht="14.4" customHeight="1">
      <c r="A393" s="2">
        <v>45748</v>
      </c>
      <c r="B393" s="1" t="s">
        <v>14</v>
      </c>
      <c r="C393" s="3">
        <v>2312</v>
      </c>
      <c r="D393" s="3">
        <v>2358.9499999999998</v>
      </c>
      <c r="E393" s="3">
        <v>2301</v>
      </c>
      <c r="F393" s="3">
        <v>2315.8000000000002</v>
      </c>
      <c r="G393" s="3">
        <v>2340</v>
      </c>
      <c r="H393" s="3">
        <v>2335.25</v>
      </c>
      <c r="I393" s="3">
        <v>2335.0500000000002</v>
      </c>
      <c r="J393" s="3">
        <v>3743.9</v>
      </c>
      <c r="K393" s="3">
        <v>2025</v>
      </c>
      <c r="L393" s="1" t="s">
        <v>285</v>
      </c>
      <c r="M393" s="1" t="s">
        <v>286</v>
      </c>
      <c r="N393" s="4">
        <v>38905</v>
      </c>
      <c r="O393" s="7">
        <f t="shared" si="24"/>
        <v>0.83988254598841938</v>
      </c>
      <c r="P393" s="8">
        <f t="shared" si="25"/>
        <v>57.949999999999818</v>
      </c>
      <c r="Q393" s="7">
        <f t="shared" si="26"/>
        <v>12.901734995501863</v>
      </c>
      <c r="R393" s="7">
        <f t="shared" si="27"/>
        <v>-37.625203664627797</v>
      </c>
    </row>
    <row r="394" spans="1:18" ht="14.4" customHeight="1">
      <c r="A394" s="2">
        <v>45749</v>
      </c>
      <c r="B394" s="1" t="s">
        <v>14</v>
      </c>
      <c r="C394" s="3">
        <v>2339.75</v>
      </c>
      <c r="D394" s="3">
        <v>2378.85</v>
      </c>
      <c r="E394" s="3">
        <v>2314.5500000000002</v>
      </c>
      <c r="F394" s="3">
        <v>2335.25</v>
      </c>
      <c r="G394" s="3">
        <v>2369</v>
      </c>
      <c r="H394" s="3">
        <v>2369.4</v>
      </c>
      <c r="I394" s="3">
        <v>2352.69</v>
      </c>
      <c r="J394" s="3">
        <v>3743.9</v>
      </c>
      <c r="K394" s="3">
        <v>2025</v>
      </c>
      <c r="L394" s="1" t="s">
        <v>283</v>
      </c>
      <c r="M394" s="1" t="s">
        <v>284</v>
      </c>
      <c r="N394" s="4">
        <v>44789</v>
      </c>
      <c r="O394" s="7">
        <f t="shared" si="24"/>
        <v>1.462370195910506</v>
      </c>
      <c r="P394" s="8">
        <f t="shared" si="25"/>
        <v>64.299999999999727</v>
      </c>
      <c r="Q394" s="7">
        <f t="shared" si="26"/>
        <v>12.814039161401237</v>
      </c>
      <c r="R394" s="7">
        <f t="shared" si="27"/>
        <v>-36.713053233259437</v>
      </c>
    </row>
    <row r="395" spans="1:18" ht="14.4" customHeight="1">
      <c r="A395" s="2">
        <v>45750</v>
      </c>
      <c r="B395" s="1" t="s">
        <v>14</v>
      </c>
      <c r="C395" s="3">
        <v>2339.75</v>
      </c>
      <c r="D395" s="3">
        <v>2429.9</v>
      </c>
      <c r="E395" s="3">
        <v>2339.6999999999998</v>
      </c>
      <c r="F395" s="3">
        <v>2369.4</v>
      </c>
      <c r="G395" s="3">
        <v>2414</v>
      </c>
      <c r="H395" s="3">
        <v>2410.8000000000002</v>
      </c>
      <c r="I395" s="3">
        <v>2403.94</v>
      </c>
      <c r="J395" s="3">
        <v>3743.9</v>
      </c>
      <c r="K395" s="3">
        <v>2025</v>
      </c>
      <c r="L395" s="1" t="s">
        <v>281</v>
      </c>
      <c r="M395" s="1" t="s">
        <v>282</v>
      </c>
      <c r="N395" s="4">
        <v>59356</v>
      </c>
      <c r="O395" s="7">
        <f t="shared" si="24"/>
        <v>1.7472777918460407</v>
      </c>
      <c r="P395" s="8">
        <f t="shared" si="25"/>
        <v>90.200000000000273</v>
      </c>
      <c r="Q395" s="7">
        <f t="shared" si="26"/>
        <v>17.238358379944739</v>
      </c>
      <c r="R395" s="7">
        <f t="shared" si="27"/>
        <v>-35.607254467266749</v>
      </c>
    </row>
    <row r="396" spans="1:18" ht="14.4" customHeight="1">
      <c r="A396" s="2">
        <v>45751</v>
      </c>
      <c r="B396" s="1" t="s">
        <v>14</v>
      </c>
      <c r="C396" s="3">
        <v>2394.9499999999998</v>
      </c>
      <c r="D396" s="3">
        <v>2410.0500000000002</v>
      </c>
      <c r="E396" s="3">
        <v>2315.5</v>
      </c>
      <c r="F396" s="3">
        <v>2410.8000000000002</v>
      </c>
      <c r="G396" s="3">
        <v>2336.3000000000002</v>
      </c>
      <c r="H396" s="3">
        <v>2334.65</v>
      </c>
      <c r="I396" s="3">
        <v>2344.17</v>
      </c>
      <c r="J396" s="3">
        <v>3743.9</v>
      </c>
      <c r="K396" s="3">
        <v>2025</v>
      </c>
      <c r="L396" s="1" t="s">
        <v>279</v>
      </c>
      <c r="M396" s="1" t="s">
        <v>280</v>
      </c>
      <c r="N396" s="4">
        <v>68843</v>
      </c>
      <c r="O396" s="7">
        <f t="shared" si="24"/>
        <v>-3.1587025053924043</v>
      </c>
      <c r="P396" s="8">
        <f t="shared" si="25"/>
        <v>94.550000000000182</v>
      </c>
      <c r="Q396" s="7">
        <f t="shared" si="26"/>
        <v>17.717603823191901</v>
      </c>
      <c r="R396" s="7">
        <f t="shared" si="27"/>
        <v>-37.64122973370015</v>
      </c>
    </row>
    <row r="397" spans="1:18" ht="14.4" customHeight="1">
      <c r="A397" s="2">
        <v>45754</v>
      </c>
      <c r="B397" s="1" t="s">
        <v>14</v>
      </c>
      <c r="C397" s="3">
        <v>2150.0500000000002</v>
      </c>
      <c r="D397" s="3">
        <v>2239</v>
      </c>
      <c r="E397" s="3">
        <v>2145</v>
      </c>
      <c r="F397" s="3">
        <v>2334.65</v>
      </c>
      <c r="G397" s="3">
        <v>2222.9</v>
      </c>
      <c r="H397" s="3">
        <v>2212.6999999999998</v>
      </c>
      <c r="I397" s="3">
        <v>2195.5700000000002</v>
      </c>
      <c r="J397" s="3">
        <v>3743.9</v>
      </c>
      <c r="K397" s="3">
        <v>2025</v>
      </c>
      <c r="L397" s="1" t="s">
        <v>277</v>
      </c>
      <c r="M397" s="1" t="s">
        <v>278</v>
      </c>
      <c r="N397" s="4">
        <v>91075</v>
      </c>
      <c r="O397" s="7">
        <f t="shared" si="24"/>
        <v>-5.2234810357012949</v>
      </c>
      <c r="P397" s="8">
        <f t="shared" si="25"/>
        <v>94</v>
      </c>
      <c r="Q397" s="7">
        <f t="shared" si="26"/>
        <v>17.207543233598681</v>
      </c>
      <c r="R397" s="7">
        <f t="shared" si="27"/>
        <v>-40.898528272656861</v>
      </c>
    </row>
    <row r="398" spans="1:18" ht="14.4" customHeight="1">
      <c r="A398" s="2">
        <v>45755</v>
      </c>
      <c r="B398" s="1" t="s">
        <v>14</v>
      </c>
      <c r="C398" s="3">
        <v>2270</v>
      </c>
      <c r="D398" s="3">
        <v>2301</v>
      </c>
      <c r="E398" s="3">
        <v>2225</v>
      </c>
      <c r="F398" s="3">
        <v>2212.6999999999998</v>
      </c>
      <c r="G398" s="3">
        <v>2288.9499999999998</v>
      </c>
      <c r="H398" s="3">
        <v>2285.6999999999998</v>
      </c>
      <c r="I398" s="3">
        <v>2273.41</v>
      </c>
      <c r="J398" s="3">
        <v>3743.9</v>
      </c>
      <c r="K398" s="3">
        <v>2025</v>
      </c>
      <c r="L398" s="1" t="s">
        <v>275</v>
      </c>
      <c r="M398" s="1" t="s">
        <v>276</v>
      </c>
      <c r="N398" s="4">
        <v>61791</v>
      </c>
      <c r="O398" s="7">
        <f t="shared" si="24"/>
        <v>3.299136801193113</v>
      </c>
      <c r="P398" s="8">
        <f t="shared" si="25"/>
        <v>76</v>
      </c>
      <c r="Q398" s="7">
        <f t="shared" si="26"/>
        <v>19.814568464663139</v>
      </c>
      <c r="R398" s="7">
        <f t="shared" si="27"/>
        <v>-38.948689868853343</v>
      </c>
    </row>
    <row r="399" spans="1:18" ht="14.4" customHeight="1">
      <c r="A399" s="2">
        <v>45756</v>
      </c>
      <c r="B399" s="1" t="s">
        <v>14</v>
      </c>
      <c r="C399" s="3">
        <v>2265.6999999999998</v>
      </c>
      <c r="D399" s="3">
        <v>2279.5500000000002</v>
      </c>
      <c r="E399" s="3">
        <v>2215.1999999999998</v>
      </c>
      <c r="F399" s="3">
        <v>2285.6999999999998</v>
      </c>
      <c r="G399" s="3">
        <v>2243.4499999999998</v>
      </c>
      <c r="H399" s="3">
        <v>2236.9</v>
      </c>
      <c r="I399" s="3">
        <v>2239.69</v>
      </c>
      <c r="J399" s="3">
        <v>3743.9</v>
      </c>
      <c r="K399" s="3">
        <v>2025</v>
      </c>
      <c r="L399" s="1" t="s">
        <v>273</v>
      </c>
      <c r="M399" s="1" t="s">
        <v>274</v>
      </c>
      <c r="N399" s="4">
        <v>56281</v>
      </c>
      <c r="O399" s="7">
        <f t="shared" si="24"/>
        <v>-2.1350133438333874</v>
      </c>
      <c r="P399" s="8">
        <f t="shared" si="25"/>
        <v>64.350000000000364</v>
      </c>
      <c r="Q399" s="7">
        <f t="shared" si="26"/>
        <v>17.797000764023384</v>
      </c>
      <c r="R399" s="7">
        <f t="shared" si="27"/>
        <v>-40.252143486738426</v>
      </c>
    </row>
    <row r="400" spans="1:18" ht="14.4" customHeight="1">
      <c r="A400" s="2">
        <v>45758</v>
      </c>
      <c r="B400" s="1" t="s">
        <v>14</v>
      </c>
      <c r="C400" s="3">
        <v>2303.0500000000002</v>
      </c>
      <c r="D400" s="3">
        <v>2343.5</v>
      </c>
      <c r="E400" s="3">
        <v>2281</v>
      </c>
      <c r="F400" s="3">
        <v>2236.9</v>
      </c>
      <c r="G400" s="3">
        <v>2318.75</v>
      </c>
      <c r="H400" s="3">
        <v>2321.4</v>
      </c>
      <c r="I400" s="3">
        <v>2317.4299999999998</v>
      </c>
      <c r="J400" s="3">
        <v>3743.9</v>
      </c>
      <c r="K400" s="3">
        <v>2025</v>
      </c>
      <c r="L400" s="1" t="s">
        <v>271</v>
      </c>
      <c r="M400" s="1" t="s">
        <v>272</v>
      </c>
      <c r="N400" s="4">
        <v>61931</v>
      </c>
      <c r="O400" s="7">
        <f t="shared" si="24"/>
        <v>3.7775492869596312</v>
      </c>
      <c r="P400" s="8">
        <f t="shared" si="25"/>
        <v>62.5</v>
      </c>
      <c r="Q400" s="7">
        <f t="shared" si="26"/>
        <v>15.847685327219002</v>
      </c>
      <c r="R400" s="7">
        <f t="shared" si="27"/>
        <v>-37.995138759048054</v>
      </c>
    </row>
    <row r="401" spans="1:18" ht="14.4" customHeight="1">
      <c r="A401" s="2">
        <v>45762</v>
      </c>
      <c r="B401" s="1" t="s">
        <v>14</v>
      </c>
      <c r="C401" s="3">
        <v>2375</v>
      </c>
      <c r="D401" s="3">
        <v>2440</v>
      </c>
      <c r="E401" s="3">
        <v>2359</v>
      </c>
      <c r="F401" s="3">
        <v>2321.4</v>
      </c>
      <c r="G401" s="3">
        <v>2415.9</v>
      </c>
      <c r="H401" s="3">
        <v>2418.1999999999998</v>
      </c>
      <c r="I401" s="3">
        <v>2410.0500000000002</v>
      </c>
      <c r="J401" s="3">
        <v>3743.9</v>
      </c>
      <c r="K401" s="3">
        <v>2025</v>
      </c>
      <c r="L401" s="1" t="s">
        <v>269</v>
      </c>
      <c r="M401" s="1" t="s">
        <v>270</v>
      </c>
      <c r="N401" s="4">
        <v>64533</v>
      </c>
      <c r="O401" s="7">
        <f t="shared" si="24"/>
        <v>4.1698974756612275</v>
      </c>
      <c r="P401" s="8">
        <f t="shared" si="25"/>
        <v>81</v>
      </c>
      <c r="Q401" s="7">
        <f t="shared" si="26"/>
        <v>17.74479723552291</v>
      </c>
      <c r="R401" s="7">
        <f t="shared" si="27"/>
        <v>-35.409599615374347</v>
      </c>
    </row>
    <row r="402" spans="1:18" ht="14.4" customHeight="1">
      <c r="A402" s="2">
        <v>45763</v>
      </c>
      <c r="B402" s="1" t="s">
        <v>14</v>
      </c>
      <c r="C402" s="3">
        <v>2400</v>
      </c>
      <c r="D402" s="3">
        <v>2428</v>
      </c>
      <c r="E402" s="3">
        <v>2382.9</v>
      </c>
      <c r="F402" s="3">
        <v>2418.1999999999998</v>
      </c>
      <c r="G402" s="3">
        <v>2414.1</v>
      </c>
      <c r="H402" s="3">
        <v>2415.6</v>
      </c>
      <c r="I402" s="3">
        <v>2405.12</v>
      </c>
      <c r="J402" s="3">
        <v>3743.9</v>
      </c>
      <c r="K402" s="3">
        <v>2025</v>
      </c>
      <c r="L402" s="1" t="s">
        <v>267</v>
      </c>
      <c r="M402" s="1" t="s">
        <v>268</v>
      </c>
      <c r="N402" s="4">
        <v>49754</v>
      </c>
      <c r="O402" s="7">
        <f t="shared" si="24"/>
        <v>-0.10751798858654822</v>
      </c>
      <c r="P402" s="8">
        <f t="shared" si="25"/>
        <v>45.099999999999909</v>
      </c>
      <c r="Q402" s="7">
        <f t="shared" si="26"/>
        <v>17.886983961088557</v>
      </c>
      <c r="R402" s="7">
        <f t="shared" si="27"/>
        <v>-35.479045914687894</v>
      </c>
    </row>
    <row r="403" spans="1:18" ht="14.4" customHeight="1">
      <c r="A403" s="2">
        <v>45764</v>
      </c>
      <c r="B403" s="1" t="s">
        <v>14</v>
      </c>
      <c r="C403" s="3">
        <v>2418</v>
      </c>
      <c r="D403" s="3">
        <v>2448.6</v>
      </c>
      <c r="E403" s="3">
        <v>2392</v>
      </c>
      <c r="F403" s="3">
        <v>2415.6</v>
      </c>
      <c r="G403" s="3">
        <v>2414.8000000000002</v>
      </c>
      <c r="H403" s="3">
        <v>2418.1</v>
      </c>
      <c r="I403" s="3">
        <v>2423.13</v>
      </c>
      <c r="J403" s="3">
        <v>3743.9</v>
      </c>
      <c r="K403" s="3">
        <v>2025</v>
      </c>
      <c r="L403" s="1" t="s">
        <v>265</v>
      </c>
      <c r="M403" s="1" t="s">
        <v>266</v>
      </c>
      <c r="N403" s="4">
        <v>65818</v>
      </c>
      <c r="O403" s="7">
        <f t="shared" si="24"/>
        <v>0.10349395595297235</v>
      </c>
      <c r="P403" s="8">
        <f t="shared" si="25"/>
        <v>56.599999999999909</v>
      </c>
      <c r="Q403" s="7">
        <f t="shared" si="26"/>
        <v>16.025965541341275</v>
      </c>
      <c r="R403" s="7">
        <f t="shared" si="27"/>
        <v>-35.412270626886404</v>
      </c>
    </row>
    <row r="404" spans="1:18" ht="14.4" customHeight="1">
      <c r="A404" s="2">
        <v>45768</v>
      </c>
      <c r="B404" s="1" t="s">
        <v>14</v>
      </c>
      <c r="C404" s="3">
        <v>2426.1</v>
      </c>
      <c r="D404" s="3">
        <v>2464.9</v>
      </c>
      <c r="E404" s="3">
        <v>2395.5</v>
      </c>
      <c r="F404" s="3">
        <v>2418.1</v>
      </c>
      <c r="G404" s="3">
        <v>2440</v>
      </c>
      <c r="H404" s="3">
        <v>2442.6999999999998</v>
      </c>
      <c r="I404" s="3">
        <v>2436.61</v>
      </c>
      <c r="J404" s="3">
        <v>3743.9</v>
      </c>
      <c r="K404" s="3">
        <v>2025</v>
      </c>
      <c r="L404" s="1" t="s">
        <v>263</v>
      </c>
      <c r="M404" s="1" t="s">
        <v>264</v>
      </c>
      <c r="N404" s="4">
        <v>49163</v>
      </c>
      <c r="O404" s="7">
        <f t="shared" si="24"/>
        <v>1.0173276539431748</v>
      </c>
      <c r="P404" s="8">
        <f t="shared" si="25"/>
        <v>69.400000000000091</v>
      </c>
      <c r="Q404" s="7">
        <f t="shared" si="26"/>
        <v>15.917641315623538</v>
      </c>
      <c r="R404" s="7">
        <f t="shared" si="27"/>
        <v>-34.755201794919742</v>
      </c>
    </row>
    <row r="405" spans="1:18" ht="14.4" customHeight="1">
      <c r="A405" s="2">
        <v>45769</v>
      </c>
      <c r="B405" s="1" t="s">
        <v>14</v>
      </c>
      <c r="C405" s="3">
        <v>2458.9</v>
      </c>
      <c r="D405" s="3">
        <v>2483.4</v>
      </c>
      <c r="E405" s="3">
        <v>2441</v>
      </c>
      <c r="F405" s="3">
        <v>2442.6999999999998</v>
      </c>
      <c r="G405" s="3">
        <v>2442.9</v>
      </c>
      <c r="H405" s="3">
        <v>2445.5</v>
      </c>
      <c r="I405" s="3">
        <v>2462.4899999999998</v>
      </c>
      <c r="J405" s="3">
        <v>3743.9</v>
      </c>
      <c r="K405" s="3">
        <v>2025</v>
      </c>
      <c r="L405" s="1" t="s">
        <v>261</v>
      </c>
      <c r="M405" s="1" t="s">
        <v>262</v>
      </c>
      <c r="N405" s="4">
        <v>45565</v>
      </c>
      <c r="O405" s="7">
        <f t="shared" si="24"/>
        <v>0.11462725672412422</v>
      </c>
      <c r="P405" s="8">
        <f t="shared" si="25"/>
        <v>42.400000000000091</v>
      </c>
      <c r="Q405" s="7">
        <f t="shared" si="26"/>
        <v>16.823592669812356</v>
      </c>
      <c r="R405" s="7">
        <f t="shared" si="27"/>
        <v>-34.680413472582067</v>
      </c>
    </row>
    <row r="406" spans="1:18" ht="14.4" customHeight="1">
      <c r="A406" s="2">
        <v>45770</v>
      </c>
      <c r="B406" s="1" t="s">
        <v>14</v>
      </c>
      <c r="C406" s="3">
        <v>2460</v>
      </c>
      <c r="D406" s="3">
        <v>2473.8000000000002</v>
      </c>
      <c r="E406" s="3">
        <v>2421.1999999999998</v>
      </c>
      <c r="F406" s="3">
        <v>2445.5</v>
      </c>
      <c r="G406" s="3">
        <v>2446</v>
      </c>
      <c r="H406" s="3">
        <v>2453.6</v>
      </c>
      <c r="I406" s="3">
        <v>2448.1799999999998</v>
      </c>
      <c r="J406" s="3">
        <v>3743.9</v>
      </c>
      <c r="K406" s="3">
        <v>2025</v>
      </c>
      <c r="L406" s="1" t="s">
        <v>259</v>
      </c>
      <c r="M406" s="1" t="s">
        <v>260</v>
      </c>
      <c r="N406" s="4">
        <v>44335</v>
      </c>
      <c r="O406" s="7">
        <f t="shared" si="24"/>
        <v>0.33122060928235159</v>
      </c>
      <c r="P406" s="8">
        <f t="shared" si="25"/>
        <v>52.600000000000364</v>
      </c>
      <c r="Q406" s="7">
        <f t="shared" si="26"/>
        <v>15.163234464869742</v>
      </c>
      <c r="R406" s="7">
        <f t="shared" si="27"/>
        <v>-34.464061540105241</v>
      </c>
    </row>
    <row r="407" spans="1:18" ht="14.4" customHeight="1">
      <c r="A407" s="2">
        <v>45771</v>
      </c>
      <c r="B407" s="1" t="s">
        <v>14</v>
      </c>
      <c r="C407" s="3">
        <v>2450</v>
      </c>
      <c r="D407" s="3">
        <v>2461.4</v>
      </c>
      <c r="E407" s="3">
        <v>2425.1</v>
      </c>
      <c r="F407" s="3">
        <v>2453.6</v>
      </c>
      <c r="G407" s="3">
        <v>2441</v>
      </c>
      <c r="H407" s="3">
        <v>2442.5</v>
      </c>
      <c r="I407" s="3">
        <v>2441.63</v>
      </c>
      <c r="J407" s="3">
        <v>3743.9</v>
      </c>
      <c r="K407" s="3">
        <v>2025</v>
      </c>
      <c r="L407" s="1" t="s">
        <v>257</v>
      </c>
      <c r="M407" s="1" t="s">
        <v>258</v>
      </c>
      <c r="N407" s="4">
        <v>45640</v>
      </c>
      <c r="O407" s="7">
        <f t="shared" si="24"/>
        <v>-0.45239647864362198</v>
      </c>
      <c r="P407" s="8">
        <f t="shared" si="25"/>
        <v>36.300000000000182</v>
      </c>
      <c r="Q407" s="7">
        <f t="shared" si="26"/>
        <v>13.073970201577563</v>
      </c>
      <c r="R407" s="7">
        <f t="shared" si="27"/>
        <v>-34.760543817943855</v>
      </c>
    </row>
    <row r="408" spans="1:18" ht="14.4" customHeight="1">
      <c r="A408" s="2">
        <v>45772</v>
      </c>
      <c r="B408" s="1" t="s">
        <v>14</v>
      </c>
      <c r="C408" s="3">
        <v>2450.1</v>
      </c>
      <c r="D408" s="3">
        <v>2459.5</v>
      </c>
      <c r="E408" s="3">
        <v>2323.5</v>
      </c>
      <c r="F408" s="3">
        <v>2442.5</v>
      </c>
      <c r="G408" s="3">
        <v>2346</v>
      </c>
      <c r="H408" s="3">
        <v>2354.3000000000002</v>
      </c>
      <c r="I408" s="3">
        <v>2362.6</v>
      </c>
      <c r="J408" s="3">
        <v>3743.9</v>
      </c>
      <c r="K408" s="3">
        <v>2025</v>
      </c>
      <c r="L408" s="1" t="s">
        <v>255</v>
      </c>
      <c r="M408" s="1" t="s">
        <v>256</v>
      </c>
      <c r="N408" s="4">
        <v>82782</v>
      </c>
      <c r="O408" s="7">
        <f t="shared" si="24"/>
        <v>-3.6110542476970244</v>
      </c>
      <c r="P408" s="8">
        <f t="shared" si="25"/>
        <v>136</v>
      </c>
      <c r="Q408" s="7">
        <f t="shared" si="26"/>
        <v>17.090780604479235</v>
      </c>
      <c r="R408" s="7">
        <f t="shared" si="27"/>
        <v>-37.116375971580432</v>
      </c>
    </row>
    <row r="409" spans="1:18" ht="14.4" customHeight="1">
      <c r="A409" s="2">
        <v>45775</v>
      </c>
      <c r="B409" s="1" t="s">
        <v>14</v>
      </c>
      <c r="C409" s="3">
        <v>2346</v>
      </c>
      <c r="D409" s="3">
        <v>2402</v>
      </c>
      <c r="E409" s="3">
        <v>2337.6</v>
      </c>
      <c r="F409" s="3">
        <v>2354.3000000000002</v>
      </c>
      <c r="G409" s="3">
        <v>2369.1</v>
      </c>
      <c r="H409" s="3">
        <v>2369.8000000000002</v>
      </c>
      <c r="I409" s="3">
        <v>2373.3000000000002</v>
      </c>
      <c r="J409" s="3">
        <v>3743.9</v>
      </c>
      <c r="K409" s="3">
        <v>2025</v>
      </c>
      <c r="L409" s="1" t="s">
        <v>253</v>
      </c>
      <c r="M409" s="1" t="s">
        <v>254</v>
      </c>
      <c r="N409" s="4">
        <v>48214</v>
      </c>
      <c r="O409" s="7">
        <f t="shared" si="24"/>
        <v>0.65836979144544028</v>
      </c>
      <c r="P409" s="8">
        <f t="shared" si="25"/>
        <v>64.400000000000091</v>
      </c>
      <c r="Q409" s="7">
        <f t="shared" si="26"/>
        <v>14.133260048948438</v>
      </c>
      <c r="R409" s="7">
        <f t="shared" si="27"/>
        <v>-36.70236918721119</v>
      </c>
    </row>
    <row r="410" spans="1:18" ht="14.4" customHeight="1">
      <c r="A410" s="2">
        <v>45776</v>
      </c>
      <c r="B410" s="1" t="s">
        <v>14</v>
      </c>
      <c r="C410" s="3">
        <v>2392</v>
      </c>
      <c r="D410" s="3">
        <v>2400</v>
      </c>
      <c r="E410" s="3">
        <v>2325.6</v>
      </c>
      <c r="F410" s="3">
        <v>2369.8000000000002</v>
      </c>
      <c r="G410" s="3">
        <v>2330.5</v>
      </c>
      <c r="H410" s="3">
        <v>2330.6</v>
      </c>
      <c r="I410" s="3">
        <v>2353.79</v>
      </c>
      <c r="J410" s="3">
        <v>3743.9</v>
      </c>
      <c r="K410" s="3">
        <v>2025</v>
      </c>
      <c r="L410" s="1" t="s">
        <v>251</v>
      </c>
      <c r="M410" s="1" t="s">
        <v>252</v>
      </c>
      <c r="N410" s="4">
        <v>43294</v>
      </c>
      <c r="O410" s="7">
        <f t="shared" si="24"/>
        <v>-1.6541480293695783</v>
      </c>
      <c r="P410" s="8">
        <f t="shared" si="25"/>
        <v>74.400000000000091</v>
      </c>
      <c r="Q410" s="7">
        <f t="shared" si="26"/>
        <v>15.492446990345082</v>
      </c>
      <c r="R410" s="7">
        <f t="shared" si="27"/>
        <v>-37.749405699938571</v>
      </c>
    </row>
    <row r="411" spans="1:18" ht="14.4" customHeight="1">
      <c r="A411" s="2">
        <v>45777</v>
      </c>
      <c r="B411" s="1" t="s">
        <v>14</v>
      </c>
      <c r="C411" s="3">
        <v>2331.4</v>
      </c>
      <c r="D411" s="3">
        <v>2340</v>
      </c>
      <c r="E411" s="3">
        <v>2285</v>
      </c>
      <c r="F411" s="3">
        <v>2330.6</v>
      </c>
      <c r="G411" s="3">
        <v>2290</v>
      </c>
      <c r="H411" s="3">
        <v>2301.3000000000002</v>
      </c>
      <c r="I411" s="3">
        <v>2313.67</v>
      </c>
      <c r="J411" s="3">
        <v>3743.9</v>
      </c>
      <c r="K411" s="3">
        <v>2025</v>
      </c>
      <c r="L411" s="1" t="s">
        <v>249</v>
      </c>
      <c r="M411" s="1" t="s">
        <v>250</v>
      </c>
      <c r="N411" s="4">
        <v>52676</v>
      </c>
      <c r="O411" s="7">
        <f t="shared" si="24"/>
        <v>-1.2571869904745443</v>
      </c>
      <c r="P411" s="8">
        <f t="shared" si="25"/>
        <v>55</v>
      </c>
      <c r="Q411" s="7">
        <f t="shared" si="26"/>
        <v>15.898397752297061</v>
      </c>
      <c r="R411" s="7">
        <f t="shared" si="27"/>
        <v>-38.53201207297203</v>
      </c>
    </row>
    <row r="412" spans="1:18" ht="14.4" customHeight="1">
      <c r="A412" s="2">
        <v>45779</v>
      </c>
      <c r="B412" s="1" t="s">
        <v>14</v>
      </c>
      <c r="C412" s="3">
        <v>2349.9</v>
      </c>
      <c r="D412" s="3">
        <v>2372.4</v>
      </c>
      <c r="E412" s="3">
        <v>2289.4</v>
      </c>
      <c r="F412" s="3">
        <v>2301.3000000000002</v>
      </c>
      <c r="G412" s="3">
        <v>2290</v>
      </c>
      <c r="H412" s="3">
        <v>2294.1999999999998</v>
      </c>
      <c r="I412" s="3">
        <v>2324.92</v>
      </c>
      <c r="J412" s="3">
        <v>3743.9</v>
      </c>
      <c r="K412" s="3">
        <v>2025</v>
      </c>
      <c r="L412" s="1" t="s">
        <v>247</v>
      </c>
      <c r="M412" s="1" t="s">
        <v>248</v>
      </c>
      <c r="N412" s="4">
        <v>97216</v>
      </c>
      <c r="O412" s="7">
        <f t="shared" si="24"/>
        <v>-0.30852127058620621</v>
      </c>
      <c r="P412" s="8">
        <f t="shared" si="25"/>
        <v>83</v>
      </c>
      <c r="Q412" s="7">
        <f t="shared" si="26"/>
        <v>20.148319206714945</v>
      </c>
      <c r="R412" s="7">
        <f t="shared" si="27"/>
        <v>-38.72165389032827</v>
      </c>
    </row>
    <row r="413" spans="1:18" ht="14.4" customHeight="1">
      <c r="A413" s="2">
        <v>45782</v>
      </c>
      <c r="B413" s="1" t="s">
        <v>14</v>
      </c>
      <c r="C413" s="3">
        <v>2312.6</v>
      </c>
      <c r="D413" s="3">
        <v>2497</v>
      </c>
      <c r="E413" s="3">
        <v>2297.8000000000002</v>
      </c>
      <c r="F413" s="3">
        <v>2294.1999999999998</v>
      </c>
      <c r="G413" s="3">
        <v>2465</v>
      </c>
      <c r="H413" s="3">
        <v>2455.5</v>
      </c>
      <c r="I413" s="3">
        <v>2437.2399999999998</v>
      </c>
      <c r="J413" s="3">
        <v>3743.9</v>
      </c>
      <c r="K413" s="3">
        <v>2025</v>
      </c>
      <c r="L413" s="1" t="s">
        <v>244</v>
      </c>
      <c r="M413" s="1" t="s">
        <v>245</v>
      </c>
      <c r="N413" s="1" t="s">
        <v>246</v>
      </c>
      <c r="O413" s="7">
        <f t="shared" si="24"/>
        <v>7.0307732542934449</v>
      </c>
      <c r="P413" s="8">
        <f t="shared" si="25"/>
        <v>199.19999999999982</v>
      </c>
      <c r="Q413" s="7">
        <f t="shared" si="26"/>
        <v>23.093237329895274</v>
      </c>
      <c r="R413" s="7">
        <f t="shared" si="27"/>
        <v>-34.413312321376104</v>
      </c>
    </row>
    <row r="414" spans="1:18" ht="14.4" customHeight="1">
      <c r="A414" s="2">
        <v>45783</v>
      </c>
      <c r="B414" s="1" t="s">
        <v>14</v>
      </c>
      <c r="C414" s="3">
        <v>2454</v>
      </c>
      <c r="D414" s="3">
        <v>2463.1999999999998</v>
      </c>
      <c r="E414" s="3">
        <v>2343.5</v>
      </c>
      <c r="F414" s="3">
        <v>2455.5</v>
      </c>
      <c r="G414" s="3">
        <v>2350</v>
      </c>
      <c r="H414" s="3">
        <v>2354</v>
      </c>
      <c r="I414" s="3">
        <v>2393.88</v>
      </c>
      <c r="J414" s="3">
        <v>3743.9</v>
      </c>
      <c r="K414" s="3">
        <v>2025</v>
      </c>
      <c r="L414" s="1" t="s">
        <v>242</v>
      </c>
      <c r="M414" s="1" t="s">
        <v>243</v>
      </c>
      <c r="N414" s="4">
        <v>76489</v>
      </c>
      <c r="O414" s="7">
        <f t="shared" si="24"/>
        <v>-4.1335776827530033</v>
      </c>
      <c r="P414" s="8">
        <f t="shared" si="25"/>
        <v>119.69999999999982</v>
      </c>
      <c r="Q414" s="7">
        <f t="shared" si="26"/>
        <v>19.933480631201871</v>
      </c>
      <c r="R414" s="7">
        <f t="shared" si="27"/>
        <v>-37.124389006116623</v>
      </c>
    </row>
    <row r="415" spans="1:18" ht="14.4" customHeight="1">
      <c r="A415" s="2">
        <v>45784</v>
      </c>
      <c r="B415" s="1" t="s">
        <v>14</v>
      </c>
      <c r="C415" s="3">
        <v>2315</v>
      </c>
      <c r="D415" s="3">
        <v>2379.5</v>
      </c>
      <c r="E415" s="3">
        <v>2315</v>
      </c>
      <c r="F415" s="3">
        <v>2354</v>
      </c>
      <c r="G415" s="3">
        <v>2349</v>
      </c>
      <c r="H415" s="3">
        <v>2353.1</v>
      </c>
      <c r="I415" s="3">
        <v>2352.0300000000002</v>
      </c>
      <c r="J415" s="3">
        <v>3743.9</v>
      </c>
      <c r="K415" s="3">
        <v>2025</v>
      </c>
      <c r="L415" s="1" t="s">
        <v>240</v>
      </c>
      <c r="M415" s="1" t="s">
        <v>241</v>
      </c>
      <c r="N415" s="4">
        <v>72371</v>
      </c>
      <c r="O415" s="7">
        <f t="shared" si="24"/>
        <v>-3.8232795242144901E-2</v>
      </c>
      <c r="P415" s="8">
        <f t="shared" si="25"/>
        <v>64.5</v>
      </c>
      <c r="Q415" s="7">
        <f t="shared" si="26"/>
        <v>13.992345000069088</v>
      </c>
      <c r="R415" s="7">
        <f t="shared" si="27"/>
        <v>-37.14842810972516</v>
      </c>
    </row>
    <row r="416" spans="1:18" ht="14.4" customHeight="1">
      <c r="A416" s="2">
        <v>45785</v>
      </c>
      <c r="B416" s="1" t="s">
        <v>14</v>
      </c>
      <c r="C416" s="3">
        <v>2362</v>
      </c>
      <c r="D416" s="3">
        <v>2367.8000000000002</v>
      </c>
      <c r="E416" s="3">
        <v>2260</v>
      </c>
      <c r="F416" s="3">
        <v>2353.1</v>
      </c>
      <c r="G416" s="3">
        <v>2270</v>
      </c>
      <c r="H416" s="3">
        <v>2285.3000000000002</v>
      </c>
      <c r="I416" s="3">
        <v>2316.2199999999998</v>
      </c>
      <c r="J416" s="3">
        <v>3743.9</v>
      </c>
      <c r="K416" s="3">
        <v>2025</v>
      </c>
      <c r="L416" s="1" t="s">
        <v>238</v>
      </c>
      <c r="M416" s="1" t="s">
        <v>239</v>
      </c>
      <c r="N416" s="4">
        <v>77928</v>
      </c>
      <c r="O416" s="7">
        <f t="shared" si="24"/>
        <v>-2.8813055118779367</v>
      </c>
      <c r="P416" s="8">
        <f t="shared" si="25"/>
        <v>107.80000000000018</v>
      </c>
      <c r="Q416" s="7">
        <f t="shared" si="26"/>
        <v>17.709539574992302</v>
      </c>
      <c r="R416" s="7">
        <f t="shared" si="27"/>
        <v>-38.959373914901569</v>
      </c>
    </row>
    <row r="417" spans="1:18" ht="14.4" customHeight="1">
      <c r="A417" s="2">
        <v>45786</v>
      </c>
      <c r="B417" s="1" t="s">
        <v>14</v>
      </c>
      <c r="C417" s="3">
        <v>2240</v>
      </c>
      <c r="D417" s="3">
        <v>2273.1</v>
      </c>
      <c r="E417" s="3">
        <v>2233</v>
      </c>
      <c r="F417" s="3">
        <v>2285.3000000000002</v>
      </c>
      <c r="G417" s="3">
        <v>2255</v>
      </c>
      <c r="H417" s="3">
        <v>2251</v>
      </c>
      <c r="I417" s="3">
        <v>2247.36</v>
      </c>
      <c r="J417" s="3">
        <v>3743.9</v>
      </c>
      <c r="K417" s="3">
        <v>2025</v>
      </c>
      <c r="L417" s="1" t="s">
        <v>236</v>
      </c>
      <c r="M417" s="1" t="s">
        <v>237</v>
      </c>
      <c r="N417" s="4">
        <v>54744</v>
      </c>
      <c r="O417" s="7">
        <f t="shared" si="24"/>
        <v>-1.5008970375880706</v>
      </c>
      <c r="P417" s="8">
        <f t="shared" si="25"/>
        <v>40.099999999999909</v>
      </c>
      <c r="Q417" s="7">
        <f t="shared" si="26"/>
        <v>18.376443080520239</v>
      </c>
      <c r="R417" s="7">
        <f t="shared" si="27"/>
        <v>-39.875530863538025</v>
      </c>
    </row>
    <row r="418" spans="1:18" ht="14.4" customHeight="1">
      <c r="A418" s="2">
        <v>45789</v>
      </c>
      <c r="B418" s="1" t="s">
        <v>14</v>
      </c>
      <c r="C418" s="3">
        <v>2350</v>
      </c>
      <c r="D418" s="3">
        <v>2433.3000000000002</v>
      </c>
      <c r="E418" s="3">
        <v>2315</v>
      </c>
      <c r="F418" s="3">
        <v>2251</v>
      </c>
      <c r="G418" s="3">
        <v>2425</v>
      </c>
      <c r="H418" s="3">
        <v>2425.3000000000002</v>
      </c>
      <c r="I418" s="3">
        <v>2404.1</v>
      </c>
      <c r="J418" s="3">
        <v>3743.9</v>
      </c>
      <c r="K418" s="3">
        <v>2025</v>
      </c>
      <c r="L418" s="1" t="s">
        <v>234</v>
      </c>
      <c r="M418" s="1" t="s">
        <v>235</v>
      </c>
      <c r="N418" s="4">
        <v>89860</v>
      </c>
      <c r="O418" s="7">
        <f t="shared" si="24"/>
        <v>7.7432252332296834</v>
      </c>
      <c r="P418" s="8">
        <f t="shared" si="25"/>
        <v>118.30000000000018</v>
      </c>
      <c r="Q418" s="7">
        <f t="shared" si="26"/>
        <v>23.893156020476297</v>
      </c>
      <c r="R418" s="7">
        <f t="shared" si="27"/>
        <v>-35.219957798018108</v>
      </c>
    </row>
    <row r="419" spans="1:18" ht="14.4" customHeight="1">
      <c r="A419" s="2">
        <v>45790</v>
      </c>
      <c r="B419" s="1" t="s">
        <v>14</v>
      </c>
      <c r="C419" s="3">
        <v>2425</v>
      </c>
      <c r="D419" s="3">
        <v>2454.9</v>
      </c>
      <c r="E419" s="3">
        <v>2405</v>
      </c>
      <c r="F419" s="3">
        <v>2425.3000000000002</v>
      </c>
      <c r="G419" s="3">
        <v>2438.1999999999998</v>
      </c>
      <c r="H419" s="3">
        <v>2441.1999999999998</v>
      </c>
      <c r="I419" s="3">
        <v>2430.56</v>
      </c>
      <c r="J419" s="3">
        <v>3743.9</v>
      </c>
      <c r="K419" s="3">
        <v>2025</v>
      </c>
      <c r="L419" s="1" t="s">
        <v>232</v>
      </c>
      <c r="M419" s="1" t="s">
        <v>233</v>
      </c>
      <c r="N419" s="4">
        <v>88886</v>
      </c>
      <c r="O419" s="7">
        <f t="shared" si="24"/>
        <v>0.65558899929904069</v>
      </c>
      <c r="P419" s="8">
        <f t="shared" si="25"/>
        <v>49.900000000000091</v>
      </c>
      <c r="Q419" s="7">
        <f t="shared" si="26"/>
        <v>20.421427446392009</v>
      </c>
      <c r="R419" s="7">
        <f t="shared" si="27"/>
        <v>-34.795266967600632</v>
      </c>
    </row>
    <row r="420" spans="1:18" ht="14.4" customHeight="1">
      <c r="A420" s="2">
        <v>45791</v>
      </c>
      <c r="B420" s="1" t="s">
        <v>14</v>
      </c>
      <c r="C420" s="3">
        <v>2444.9</v>
      </c>
      <c r="D420" s="3">
        <v>2481.9</v>
      </c>
      <c r="E420" s="3">
        <v>2430.1</v>
      </c>
      <c r="F420" s="3">
        <v>2441.1999999999998</v>
      </c>
      <c r="G420" s="3">
        <v>2463</v>
      </c>
      <c r="H420" s="3">
        <v>2461.9</v>
      </c>
      <c r="I420" s="3">
        <v>2464.92</v>
      </c>
      <c r="J420" s="3">
        <v>3743.9</v>
      </c>
      <c r="K420" s="3">
        <v>2025</v>
      </c>
      <c r="L420" s="1" t="s">
        <v>230</v>
      </c>
      <c r="M420" s="1" t="s">
        <v>231</v>
      </c>
      <c r="N420" s="4">
        <v>46754</v>
      </c>
      <c r="O420" s="7">
        <f t="shared" si="24"/>
        <v>0.84794363427823516</v>
      </c>
      <c r="P420" s="8">
        <f t="shared" si="25"/>
        <v>51.800000000000182</v>
      </c>
      <c r="Q420" s="7">
        <f t="shared" si="26"/>
        <v>16.564165632887025</v>
      </c>
      <c r="R420" s="7">
        <f t="shared" si="27"/>
        <v>-34.242367584604288</v>
      </c>
    </row>
    <row r="421" spans="1:18" ht="14.4" customHeight="1">
      <c r="A421" s="2">
        <v>45792</v>
      </c>
      <c r="B421" s="1" t="s">
        <v>14</v>
      </c>
      <c r="C421" s="3">
        <v>2463.4</v>
      </c>
      <c r="D421" s="3">
        <v>2526.8000000000002</v>
      </c>
      <c r="E421" s="3">
        <v>2450.6999999999998</v>
      </c>
      <c r="F421" s="3">
        <v>2461.9</v>
      </c>
      <c r="G421" s="3">
        <v>2519</v>
      </c>
      <c r="H421" s="3">
        <v>2520</v>
      </c>
      <c r="I421" s="3">
        <v>2499.39</v>
      </c>
      <c r="J421" s="3">
        <v>3743.9</v>
      </c>
      <c r="K421" s="3">
        <v>2025</v>
      </c>
      <c r="L421" s="1" t="s">
        <v>227</v>
      </c>
      <c r="M421" s="1" t="s">
        <v>228</v>
      </c>
      <c r="N421" s="1" t="s">
        <v>229</v>
      </c>
      <c r="O421" s="7">
        <f t="shared" si="24"/>
        <v>2.3599658800113699</v>
      </c>
      <c r="P421" s="8">
        <f t="shared" si="25"/>
        <v>76.100000000000364</v>
      </c>
      <c r="Q421" s="7">
        <f t="shared" si="26"/>
        <v>14.586606749162687</v>
      </c>
      <c r="R421" s="7">
        <f t="shared" si="27"/>
        <v>-32.690509896097652</v>
      </c>
    </row>
    <row r="422" spans="1:18" ht="14.4" customHeight="1">
      <c r="A422" s="2">
        <v>45793</v>
      </c>
      <c r="B422" s="1" t="s">
        <v>14</v>
      </c>
      <c r="C422" s="3">
        <v>2529</v>
      </c>
      <c r="D422" s="3">
        <v>2584.1999999999998</v>
      </c>
      <c r="E422" s="3">
        <v>2516.1999999999998</v>
      </c>
      <c r="F422" s="3">
        <v>2520</v>
      </c>
      <c r="G422" s="3">
        <v>2551</v>
      </c>
      <c r="H422" s="3">
        <v>2555</v>
      </c>
      <c r="I422" s="3">
        <v>2555.88</v>
      </c>
      <c r="J422" s="3">
        <v>3743.9</v>
      </c>
      <c r="K422" s="3">
        <v>2025</v>
      </c>
      <c r="L422" s="1" t="s">
        <v>225</v>
      </c>
      <c r="M422" s="1" t="s">
        <v>226</v>
      </c>
      <c r="N422" s="4">
        <v>64469</v>
      </c>
      <c r="O422" s="7">
        <f t="shared" si="24"/>
        <v>1.3888888888888888</v>
      </c>
      <c r="P422" s="8">
        <f t="shared" si="25"/>
        <v>68</v>
      </c>
      <c r="Q422" s="7">
        <f t="shared" si="26"/>
        <v>25.456188245513349</v>
      </c>
      <c r="R422" s="7">
        <f t="shared" si="27"/>
        <v>-31.755655866876786</v>
      </c>
    </row>
    <row r="423" spans="1:18" ht="14.4" customHeight="1">
      <c r="A423" s="2">
        <v>45796</v>
      </c>
      <c r="B423" s="1" t="s">
        <v>14</v>
      </c>
      <c r="C423" s="3">
        <v>2571.3000000000002</v>
      </c>
      <c r="D423" s="3">
        <v>2578.8000000000002</v>
      </c>
      <c r="E423" s="3">
        <v>2536</v>
      </c>
      <c r="F423" s="3">
        <v>2555</v>
      </c>
      <c r="G423" s="3">
        <v>2538</v>
      </c>
      <c r="H423" s="3">
        <v>2540.6</v>
      </c>
      <c r="I423" s="3">
        <v>2556.88</v>
      </c>
      <c r="J423" s="3">
        <v>3743.9</v>
      </c>
      <c r="K423" s="3">
        <v>2025</v>
      </c>
      <c r="L423" s="1" t="s">
        <v>223</v>
      </c>
      <c r="M423" s="1" t="s">
        <v>224</v>
      </c>
      <c r="N423" s="4">
        <v>41131</v>
      </c>
      <c r="O423" s="7">
        <f t="shared" si="24"/>
        <v>-0.56360078277886849</v>
      </c>
      <c r="P423" s="8">
        <f t="shared" si="25"/>
        <v>42.800000000000182</v>
      </c>
      <c r="Q423" s="7">
        <f t="shared" si="26"/>
        <v>16.556854926940751</v>
      </c>
      <c r="R423" s="7">
        <f t="shared" si="27"/>
        <v>-32.140281524613371</v>
      </c>
    </row>
    <row r="424" spans="1:18" ht="14.4" customHeight="1">
      <c r="A424" s="2">
        <v>45797</v>
      </c>
      <c r="B424" s="1" t="s">
        <v>14</v>
      </c>
      <c r="C424" s="3">
        <v>2545</v>
      </c>
      <c r="D424" s="3">
        <v>2564.8000000000002</v>
      </c>
      <c r="E424" s="3">
        <v>2492.5</v>
      </c>
      <c r="F424" s="3">
        <v>2540.6</v>
      </c>
      <c r="G424" s="3">
        <v>2505.9</v>
      </c>
      <c r="H424" s="3">
        <v>2501.6</v>
      </c>
      <c r="I424" s="3">
        <v>2530.1</v>
      </c>
      <c r="J424" s="3">
        <v>3743.9</v>
      </c>
      <c r="K424" s="3">
        <v>2025</v>
      </c>
      <c r="L424" s="1" t="s">
        <v>221</v>
      </c>
      <c r="M424" s="1" t="s">
        <v>222</v>
      </c>
      <c r="N424" s="4">
        <v>42558</v>
      </c>
      <c r="O424" s="7">
        <f t="shared" si="24"/>
        <v>-1.535070455797843</v>
      </c>
      <c r="P424" s="8">
        <f t="shared" si="25"/>
        <v>72.300000000000182</v>
      </c>
      <c r="Q424" s="7">
        <f t="shared" si="26"/>
        <v>14.75687297335401</v>
      </c>
      <c r="R424" s="7">
        <f t="shared" si="27"/>
        <v>-33.181976014316625</v>
      </c>
    </row>
    <row r="425" spans="1:18" ht="14.4" customHeight="1">
      <c r="A425" s="2">
        <v>45798</v>
      </c>
      <c r="B425" s="1" t="s">
        <v>14</v>
      </c>
      <c r="C425" s="3">
        <v>2509.6999999999998</v>
      </c>
      <c r="D425" s="3">
        <v>2524.5</v>
      </c>
      <c r="E425" s="3">
        <v>2483.6999999999998</v>
      </c>
      <c r="F425" s="3">
        <v>2501.6</v>
      </c>
      <c r="G425" s="3">
        <v>2503</v>
      </c>
      <c r="H425" s="3">
        <v>2500.4</v>
      </c>
      <c r="I425" s="3">
        <v>2503.2199999999998</v>
      </c>
      <c r="J425" s="3">
        <v>3743.9</v>
      </c>
      <c r="K425" s="3">
        <v>2025</v>
      </c>
      <c r="L425" s="1" t="s">
        <v>219</v>
      </c>
      <c r="M425" s="1" t="s">
        <v>220</v>
      </c>
      <c r="N425" s="4">
        <v>34568</v>
      </c>
      <c r="O425" s="7">
        <f t="shared" si="24"/>
        <v>-4.7969299648217868E-2</v>
      </c>
      <c r="P425" s="8">
        <f t="shared" si="25"/>
        <v>40.800000000000182</v>
      </c>
      <c r="Q425" s="7">
        <f t="shared" si="26"/>
        <v>15.309939828743346</v>
      </c>
      <c r="R425" s="7">
        <f t="shared" si="27"/>
        <v>-33.214028152461339</v>
      </c>
    </row>
    <row r="426" spans="1:18" ht="14.4" customHeight="1">
      <c r="A426" s="2">
        <v>45799</v>
      </c>
      <c r="B426" s="1" t="s">
        <v>14</v>
      </c>
      <c r="C426" s="3">
        <v>2500.4</v>
      </c>
      <c r="D426" s="3">
        <v>2521.9</v>
      </c>
      <c r="E426" s="3">
        <v>2465.3000000000002</v>
      </c>
      <c r="F426" s="3">
        <v>2500.4</v>
      </c>
      <c r="G426" s="3">
        <v>2496.6</v>
      </c>
      <c r="H426" s="3">
        <v>2487.6</v>
      </c>
      <c r="I426" s="3">
        <v>2492.02</v>
      </c>
      <c r="J426" s="3">
        <v>3743.9</v>
      </c>
      <c r="K426" s="3">
        <v>2025</v>
      </c>
      <c r="L426" s="1" t="s">
        <v>217</v>
      </c>
      <c r="M426" s="1" t="s">
        <v>218</v>
      </c>
      <c r="N426" s="4">
        <v>50284</v>
      </c>
      <c r="O426" s="7">
        <f t="shared" si="24"/>
        <v>-0.51191809310511038</v>
      </c>
      <c r="P426" s="8">
        <f t="shared" si="25"/>
        <v>56.599999999999909</v>
      </c>
      <c r="Q426" s="7">
        <f t="shared" si="26"/>
        <v>18.035737013761832</v>
      </c>
      <c r="R426" s="7">
        <f t="shared" si="27"/>
        <v>-33.55591762600497</v>
      </c>
    </row>
    <row r="427" spans="1:18" ht="14.4" customHeight="1">
      <c r="A427" s="2">
        <v>45800</v>
      </c>
      <c r="B427" s="1" t="s">
        <v>14</v>
      </c>
      <c r="C427" s="3">
        <v>2499</v>
      </c>
      <c r="D427" s="3">
        <v>2548.1</v>
      </c>
      <c r="E427" s="3">
        <v>2490.5</v>
      </c>
      <c r="F427" s="3">
        <v>2487.6</v>
      </c>
      <c r="G427" s="3">
        <v>2537</v>
      </c>
      <c r="H427" s="3">
        <v>2540</v>
      </c>
      <c r="I427" s="3">
        <v>2530.5</v>
      </c>
      <c r="J427" s="3">
        <v>3743.9</v>
      </c>
      <c r="K427" s="3">
        <v>2025</v>
      </c>
      <c r="L427" s="1" t="s">
        <v>215</v>
      </c>
      <c r="M427" s="1" t="s">
        <v>216</v>
      </c>
      <c r="N427" s="4">
        <v>37154</v>
      </c>
      <c r="O427" s="7">
        <f t="shared" si="24"/>
        <v>2.1064479819906774</v>
      </c>
      <c r="P427" s="8">
        <f t="shared" si="25"/>
        <v>57.599999999999909</v>
      </c>
      <c r="Q427" s="7">
        <f t="shared" si="26"/>
        <v>26.064892070840287</v>
      </c>
      <c r="R427" s="7">
        <f t="shared" si="27"/>
        <v>-32.156307593685732</v>
      </c>
    </row>
    <row r="428" spans="1:18" ht="14.4" customHeight="1">
      <c r="A428" s="2">
        <v>45803</v>
      </c>
      <c r="B428" s="1" t="s">
        <v>14</v>
      </c>
      <c r="C428" s="3">
        <v>2549.1</v>
      </c>
      <c r="D428" s="3">
        <v>2568.9</v>
      </c>
      <c r="E428" s="3">
        <v>2541.3000000000002</v>
      </c>
      <c r="F428" s="3">
        <v>2540</v>
      </c>
      <c r="G428" s="3">
        <v>2543.6</v>
      </c>
      <c r="H428" s="3">
        <v>2547.6999999999998</v>
      </c>
      <c r="I428" s="3">
        <v>2554.17</v>
      </c>
      <c r="J428" s="3">
        <v>3743.9</v>
      </c>
      <c r="K428" s="3">
        <v>2025</v>
      </c>
      <c r="L428" s="1" t="s">
        <v>213</v>
      </c>
      <c r="M428" s="1" t="s">
        <v>214</v>
      </c>
      <c r="N428" s="4">
        <v>31870</v>
      </c>
      <c r="O428" s="7">
        <f t="shared" si="24"/>
        <v>0.30314960629920545</v>
      </c>
      <c r="P428" s="8">
        <f t="shared" si="25"/>
        <v>27.599999999999909</v>
      </c>
      <c r="Q428" s="7">
        <f t="shared" si="26"/>
        <v>17.348980232193284</v>
      </c>
      <c r="R428" s="7">
        <f t="shared" si="27"/>
        <v>-31.950639707257146</v>
      </c>
    </row>
    <row r="429" spans="1:18" ht="14.4" customHeight="1">
      <c r="A429" s="2">
        <v>45804</v>
      </c>
      <c r="B429" s="1" t="s">
        <v>14</v>
      </c>
      <c r="C429" s="3">
        <v>2545.9</v>
      </c>
      <c r="D429" s="3">
        <v>2569.1</v>
      </c>
      <c r="E429" s="3">
        <v>2526.1</v>
      </c>
      <c r="F429" s="3">
        <v>2547.6999999999998</v>
      </c>
      <c r="G429" s="3">
        <v>2536</v>
      </c>
      <c r="H429" s="3">
        <v>2540.3000000000002</v>
      </c>
      <c r="I429" s="3">
        <v>2547.98</v>
      </c>
      <c r="J429" s="3">
        <v>3743.9</v>
      </c>
      <c r="K429" s="3">
        <v>2025</v>
      </c>
      <c r="L429" s="1" t="s">
        <v>211</v>
      </c>
      <c r="M429" s="1" t="s">
        <v>212</v>
      </c>
      <c r="N429" s="4">
        <v>37644</v>
      </c>
      <c r="O429" s="7">
        <f t="shared" si="24"/>
        <v>-0.29045806021115661</v>
      </c>
      <c r="P429" s="8">
        <f t="shared" si="25"/>
        <v>43</v>
      </c>
      <c r="Q429" s="7">
        <f t="shared" si="26"/>
        <v>13.679098926787802</v>
      </c>
      <c r="R429" s="7">
        <f t="shared" si="27"/>
        <v>-32.148294559149548</v>
      </c>
    </row>
    <row r="430" spans="1:18" ht="14.4" customHeight="1">
      <c r="A430" s="2">
        <v>45805</v>
      </c>
      <c r="B430" s="1" t="s">
        <v>14</v>
      </c>
      <c r="C430" s="3">
        <v>2559</v>
      </c>
      <c r="D430" s="3">
        <v>2559</v>
      </c>
      <c r="E430" s="3">
        <v>2510</v>
      </c>
      <c r="F430" s="3">
        <v>2540.3000000000002</v>
      </c>
      <c r="G430" s="3">
        <v>2517.5</v>
      </c>
      <c r="H430" s="3">
        <v>2515</v>
      </c>
      <c r="I430" s="3">
        <v>2529.94</v>
      </c>
      <c r="J430" s="3">
        <v>3743.9</v>
      </c>
      <c r="K430" s="3">
        <v>2025</v>
      </c>
      <c r="L430" s="1" t="s">
        <v>209</v>
      </c>
      <c r="M430" s="1" t="s">
        <v>210</v>
      </c>
      <c r="N430" s="4">
        <v>26261</v>
      </c>
      <c r="O430" s="7">
        <f t="shared" si="24"/>
        <v>-0.9959453607841664</v>
      </c>
      <c r="P430" s="8">
        <f t="shared" si="25"/>
        <v>49</v>
      </c>
      <c r="Q430" s="7">
        <f t="shared" si="26"/>
        <v>21.933247020296257</v>
      </c>
      <c r="R430" s="7">
        <f t="shared" si="27"/>
        <v>-32.824060471700633</v>
      </c>
    </row>
    <row r="431" spans="1:18" ht="14.4" customHeight="1">
      <c r="A431" s="2">
        <v>45806</v>
      </c>
      <c r="B431" s="1" t="s">
        <v>14</v>
      </c>
      <c r="C431" s="3">
        <v>2536.6999999999998</v>
      </c>
      <c r="D431" s="3">
        <v>2559</v>
      </c>
      <c r="E431" s="3">
        <v>2511</v>
      </c>
      <c r="F431" s="3">
        <v>2515</v>
      </c>
      <c r="G431" s="3">
        <v>2543</v>
      </c>
      <c r="H431" s="3">
        <v>2540.8000000000002</v>
      </c>
      <c r="I431" s="3">
        <v>2535.48</v>
      </c>
      <c r="J431" s="3">
        <v>3743.9</v>
      </c>
      <c r="K431" s="3">
        <v>2025</v>
      </c>
      <c r="L431" s="1" t="s">
        <v>207</v>
      </c>
      <c r="M431" s="1" t="s">
        <v>208</v>
      </c>
      <c r="N431" s="4">
        <v>41626</v>
      </c>
      <c r="O431" s="7">
        <f t="shared" si="24"/>
        <v>1.0258449304175024</v>
      </c>
      <c r="P431" s="8">
        <f t="shared" si="25"/>
        <v>48</v>
      </c>
      <c r="Q431" s="7">
        <f t="shared" si="26"/>
        <v>19.274419833757747</v>
      </c>
      <c r="R431" s="7">
        <f t="shared" si="27"/>
        <v>-32.134939501589251</v>
      </c>
    </row>
    <row r="432" spans="1:18" ht="14.4" customHeight="1">
      <c r="A432" s="2">
        <v>45807</v>
      </c>
      <c r="B432" s="1" t="s">
        <v>14</v>
      </c>
      <c r="C432" s="3">
        <v>2550</v>
      </c>
      <c r="D432" s="3">
        <v>2564</v>
      </c>
      <c r="E432" s="3">
        <v>2513.8000000000002</v>
      </c>
      <c r="F432" s="3">
        <v>2540.8000000000002</v>
      </c>
      <c r="G432" s="3">
        <v>2518</v>
      </c>
      <c r="H432" s="3">
        <v>2519.9</v>
      </c>
      <c r="I432" s="3">
        <v>2530.54</v>
      </c>
      <c r="J432" s="3">
        <v>3743.9</v>
      </c>
      <c r="K432" s="3">
        <v>2025</v>
      </c>
      <c r="L432" s="1" t="s">
        <v>205</v>
      </c>
      <c r="M432" s="1" t="s">
        <v>206</v>
      </c>
      <c r="N432" s="4">
        <v>37146</v>
      </c>
      <c r="O432" s="7">
        <f t="shared" si="24"/>
        <v>-0.82257556675063326</v>
      </c>
      <c r="P432" s="8">
        <f t="shared" si="25"/>
        <v>50.199999999999818</v>
      </c>
      <c r="Q432" s="7">
        <f t="shared" si="26"/>
        <v>18.429763635384699</v>
      </c>
      <c r="R432" s="7">
        <f t="shared" si="27"/>
        <v>-32.693180907609708</v>
      </c>
    </row>
    <row r="433" spans="1:18" ht="14.4" customHeight="1">
      <c r="A433" s="2">
        <v>45810</v>
      </c>
      <c r="B433" s="1" t="s">
        <v>14</v>
      </c>
      <c r="C433" s="3">
        <v>2527</v>
      </c>
      <c r="D433" s="3">
        <v>2564</v>
      </c>
      <c r="E433" s="3">
        <v>2514.9</v>
      </c>
      <c r="F433" s="3">
        <v>2519.9</v>
      </c>
      <c r="G433" s="3">
        <v>2524.6999999999998</v>
      </c>
      <c r="H433" s="3">
        <v>2518.8000000000002</v>
      </c>
      <c r="I433" s="3">
        <v>2534.89</v>
      </c>
      <c r="J433" s="3">
        <v>3743.9</v>
      </c>
      <c r="K433" s="3">
        <v>2025</v>
      </c>
      <c r="L433" s="1" t="s">
        <v>203</v>
      </c>
      <c r="M433" s="1" t="s">
        <v>204</v>
      </c>
      <c r="N433" s="4">
        <v>49113</v>
      </c>
      <c r="O433" s="7">
        <f t="shared" si="24"/>
        <v>-4.3652525893881064E-2</v>
      </c>
      <c r="P433" s="8">
        <f t="shared" si="25"/>
        <v>49.099999999999909</v>
      </c>
      <c r="Q433" s="7">
        <f t="shared" si="26"/>
        <v>20.538676114267098</v>
      </c>
      <c r="R433" s="7">
        <f t="shared" si="27"/>
        <v>-32.722562034242365</v>
      </c>
    </row>
    <row r="434" spans="1:18" ht="14.4" customHeight="1">
      <c r="A434" s="2">
        <v>45811</v>
      </c>
      <c r="B434" s="1" t="s">
        <v>14</v>
      </c>
      <c r="C434" s="3">
        <v>2511</v>
      </c>
      <c r="D434" s="3">
        <v>2512.5</v>
      </c>
      <c r="E434" s="3">
        <v>2452</v>
      </c>
      <c r="F434" s="3">
        <v>2518.8000000000002</v>
      </c>
      <c r="G434" s="3">
        <v>2471.1</v>
      </c>
      <c r="H434" s="3">
        <v>2470.9</v>
      </c>
      <c r="I434" s="3">
        <v>2480.64</v>
      </c>
      <c r="J434" s="3">
        <v>3743.9</v>
      </c>
      <c r="K434" s="3">
        <v>2025</v>
      </c>
      <c r="L434" s="1" t="s">
        <v>201</v>
      </c>
      <c r="M434" s="1" t="s">
        <v>202</v>
      </c>
      <c r="N434" s="4">
        <v>48961</v>
      </c>
      <c r="O434" s="7">
        <f t="shared" si="24"/>
        <v>-1.9016992218516788</v>
      </c>
      <c r="P434" s="8">
        <f t="shared" si="25"/>
        <v>60.5</v>
      </c>
      <c r="Q434" s="7">
        <f t="shared" si="26"/>
        <v>19.662751986274792</v>
      </c>
      <c r="R434" s="7">
        <f t="shared" si="27"/>
        <v>-34.001976548518925</v>
      </c>
    </row>
    <row r="435" spans="1:18" ht="14.4" customHeight="1">
      <c r="A435" s="2">
        <v>45812</v>
      </c>
      <c r="B435" s="1" t="s">
        <v>14</v>
      </c>
      <c r="C435" s="3">
        <v>2480</v>
      </c>
      <c r="D435" s="3">
        <v>2503</v>
      </c>
      <c r="E435" s="3">
        <v>2441.1</v>
      </c>
      <c r="F435" s="3">
        <v>2470.9</v>
      </c>
      <c r="G435" s="3">
        <v>2487</v>
      </c>
      <c r="H435" s="3">
        <v>2489.4</v>
      </c>
      <c r="I435" s="3">
        <v>2475.85</v>
      </c>
      <c r="J435" s="3">
        <v>3743.9</v>
      </c>
      <c r="K435" s="3">
        <v>2025</v>
      </c>
      <c r="L435" s="1" t="s">
        <v>199</v>
      </c>
      <c r="M435" s="1" t="s">
        <v>200</v>
      </c>
      <c r="N435" s="4">
        <v>34151</v>
      </c>
      <c r="O435" s="7">
        <f t="shared" si="24"/>
        <v>0.74871504310170378</v>
      </c>
      <c r="P435" s="8">
        <f t="shared" si="25"/>
        <v>61.900000000000091</v>
      </c>
      <c r="Q435" s="7">
        <f t="shared" si="26"/>
        <v>16.183040028110451</v>
      </c>
      <c r="R435" s="7">
        <f t="shared" si="27"/>
        <v>-33.507839418787896</v>
      </c>
    </row>
    <row r="436" spans="1:18" ht="14.4" customHeight="1">
      <c r="A436" s="2">
        <v>45813</v>
      </c>
      <c r="B436" s="1" t="s">
        <v>14</v>
      </c>
      <c r="C436" s="3">
        <v>2495</v>
      </c>
      <c r="D436" s="3">
        <v>2530.1</v>
      </c>
      <c r="E436" s="3">
        <v>2487.5</v>
      </c>
      <c r="F436" s="3">
        <v>2489.4</v>
      </c>
      <c r="G436" s="3">
        <v>2510</v>
      </c>
      <c r="H436" s="3">
        <v>2504.4</v>
      </c>
      <c r="I436" s="3">
        <v>2510.52</v>
      </c>
      <c r="J436" s="3">
        <v>3743.9</v>
      </c>
      <c r="K436" s="3">
        <v>2025</v>
      </c>
      <c r="L436" s="1" t="s">
        <v>197</v>
      </c>
      <c r="M436" s="1" t="s">
        <v>198</v>
      </c>
      <c r="N436" s="4">
        <v>38579</v>
      </c>
      <c r="O436" s="7">
        <f t="shared" si="24"/>
        <v>0.60255483248975661</v>
      </c>
      <c r="P436" s="8">
        <f t="shared" si="25"/>
        <v>42.599999999999909</v>
      </c>
      <c r="Q436" s="7">
        <f t="shared" si="26"/>
        <v>17.450141268565801</v>
      </c>
      <c r="R436" s="7">
        <f t="shared" si="27"/>
        <v>-33.10718769197895</v>
      </c>
    </row>
    <row r="437" spans="1:18" ht="14.4" customHeight="1">
      <c r="A437" s="2">
        <v>45814</v>
      </c>
      <c r="B437" s="1" t="s">
        <v>14</v>
      </c>
      <c r="C437" s="3">
        <v>2514.9</v>
      </c>
      <c r="D437" s="3">
        <v>2553.3000000000002</v>
      </c>
      <c r="E437" s="3">
        <v>2504</v>
      </c>
      <c r="F437" s="3">
        <v>2504.4</v>
      </c>
      <c r="G437" s="3">
        <v>2535</v>
      </c>
      <c r="H437" s="3">
        <v>2534.1999999999998</v>
      </c>
      <c r="I437" s="3">
        <v>2534.9499999999998</v>
      </c>
      <c r="J437" s="3">
        <v>3743.9</v>
      </c>
      <c r="K437" s="3">
        <v>2025</v>
      </c>
      <c r="L437" s="1" t="s">
        <v>195</v>
      </c>
      <c r="M437" s="1" t="s">
        <v>196</v>
      </c>
      <c r="N437" s="4">
        <v>53932</v>
      </c>
      <c r="O437" s="7">
        <f t="shared" si="24"/>
        <v>1.1899057658520893</v>
      </c>
      <c r="P437" s="8">
        <f t="shared" si="25"/>
        <v>49.300000000000182</v>
      </c>
      <c r="Q437" s="7">
        <f t="shared" si="26"/>
        <v>11.879403693540013</v>
      </c>
      <c r="R437" s="7">
        <f t="shared" si="27"/>
        <v>-32.311226261385194</v>
      </c>
    </row>
    <row r="438" spans="1:18" ht="14.4" customHeight="1">
      <c r="A438" s="2">
        <v>45817</v>
      </c>
      <c r="B438" s="1" t="s">
        <v>14</v>
      </c>
      <c r="C438" s="3">
        <v>2545</v>
      </c>
      <c r="D438" s="3">
        <v>2604.1</v>
      </c>
      <c r="E438" s="3">
        <v>2524.5</v>
      </c>
      <c r="F438" s="3">
        <v>2534.1999999999998</v>
      </c>
      <c r="G438" s="3">
        <v>2582</v>
      </c>
      <c r="H438" s="3">
        <v>2582.1</v>
      </c>
      <c r="I438" s="3">
        <v>2568.33</v>
      </c>
      <c r="J438" s="3">
        <v>3345</v>
      </c>
      <c r="K438" s="3">
        <v>2025</v>
      </c>
      <c r="L438" s="1" t="s">
        <v>193</v>
      </c>
      <c r="M438" s="1" t="s">
        <v>194</v>
      </c>
      <c r="N438" s="4">
        <v>56427</v>
      </c>
      <c r="O438" s="7">
        <f t="shared" si="24"/>
        <v>1.8901428458685223</v>
      </c>
      <c r="P438" s="8">
        <f t="shared" si="25"/>
        <v>79.599999999999909</v>
      </c>
      <c r="Q438" s="7">
        <f t="shared" si="26"/>
        <v>30.325322983678028</v>
      </c>
      <c r="R438" s="7">
        <f t="shared" si="27"/>
        <v>-22.80717488789238</v>
      </c>
    </row>
    <row r="439" spans="1:18" ht="14.4" customHeight="1">
      <c r="A439" s="2">
        <v>45818</v>
      </c>
      <c r="B439" s="1" t="s">
        <v>14</v>
      </c>
      <c r="C439" s="3">
        <v>2600</v>
      </c>
      <c r="D439" s="3">
        <v>2663.2</v>
      </c>
      <c r="E439" s="3">
        <v>2577.6999999999998</v>
      </c>
      <c r="F439" s="3">
        <v>2582.1</v>
      </c>
      <c r="G439" s="3">
        <v>2618</v>
      </c>
      <c r="H439" s="3">
        <v>2613.1</v>
      </c>
      <c r="I439" s="3">
        <v>2626.35</v>
      </c>
      <c r="J439" s="3">
        <v>3345</v>
      </c>
      <c r="K439" s="3">
        <v>2025</v>
      </c>
      <c r="L439" s="1" t="s">
        <v>191</v>
      </c>
      <c r="M439" s="1" t="s">
        <v>192</v>
      </c>
      <c r="N439" s="4">
        <v>86665</v>
      </c>
      <c r="O439" s="7">
        <f t="shared" si="24"/>
        <v>1.2005731768715386</v>
      </c>
      <c r="P439" s="8">
        <f t="shared" si="25"/>
        <v>85.5</v>
      </c>
      <c r="Q439" s="7">
        <f t="shared" si="26"/>
        <v>24.047239369987885</v>
      </c>
      <c r="R439" s="7">
        <f t="shared" si="27"/>
        <v>-21.88041853512706</v>
      </c>
    </row>
    <row r="440" spans="1:18" ht="14.4" customHeight="1">
      <c r="A440" s="2">
        <v>45819</v>
      </c>
      <c r="B440" s="1" t="s">
        <v>14</v>
      </c>
      <c r="C440" s="3">
        <v>2630</v>
      </c>
      <c r="D440" s="3">
        <v>2630.9</v>
      </c>
      <c r="E440" s="3">
        <v>2563.1</v>
      </c>
      <c r="F440" s="3">
        <v>2613.1</v>
      </c>
      <c r="G440" s="3">
        <v>2584.1</v>
      </c>
      <c r="H440" s="3">
        <v>2581.1999999999998</v>
      </c>
      <c r="I440" s="3">
        <v>2596.52</v>
      </c>
      <c r="J440" s="3">
        <v>3345</v>
      </c>
      <c r="K440" s="3">
        <v>2025</v>
      </c>
      <c r="L440" s="1" t="s">
        <v>189</v>
      </c>
      <c r="M440" s="1" t="s">
        <v>190</v>
      </c>
      <c r="N440" s="4">
        <v>37014</v>
      </c>
      <c r="O440" s="7">
        <f t="shared" si="24"/>
        <v>-1.2207722628295927</v>
      </c>
      <c r="P440" s="8">
        <f t="shared" si="25"/>
        <v>67.800000000000182</v>
      </c>
      <c r="Q440" s="7">
        <f t="shared" si="26"/>
        <v>20.139190576538606</v>
      </c>
      <c r="R440" s="7">
        <f t="shared" si="27"/>
        <v>-22.834080717488796</v>
      </c>
    </row>
    <row r="441" spans="1:18" ht="14.4" customHeight="1">
      <c r="A441" s="2">
        <v>45820</v>
      </c>
      <c r="B441" s="1" t="s">
        <v>14</v>
      </c>
      <c r="C441" s="3">
        <v>2591.5</v>
      </c>
      <c r="D441" s="3">
        <v>2601.8000000000002</v>
      </c>
      <c r="E441" s="3">
        <v>2530</v>
      </c>
      <c r="F441" s="3">
        <v>2581.1999999999998</v>
      </c>
      <c r="G441" s="3">
        <v>2536</v>
      </c>
      <c r="H441" s="3">
        <v>2543.6999999999998</v>
      </c>
      <c r="I441" s="3">
        <v>2561.98</v>
      </c>
      <c r="J441" s="3">
        <v>3345</v>
      </c>
      <c r="K441" s="3">
        <v>2025</v>
      </c>
      <c r="L441" s="1" t="s">
        <v>187</v>
      </c>
      <c r="M441" s="1" t="s">
        <v>188</v>
      </c>
      <c r="N441" s="4">
        <v>57018</v>
      </c>
      <c r="O441" s="7">
        <f t="shared" si="24"/>
        <v>-1.4528126452812646</v>
      </c>
      <c r="P441" s="8">
        <f t="shared" si="25"/>
        <v>71.800000000000182</v>
      </c>
      <c r="Q441" s="7">
        <f t="shared" si="26"/>
        <v>16.75079799361605</v>
      </c>
      <c r="R441" s="7">
        <f t="shared" si="27"/>
        <v>-23.955156950672652</v>
      </c>
    </row>
    <row r="442" spans="1:18" ht="14.4" customHeight="1">
      <c r="A442" s="2">
        <v>45821</v>
      </c>
      <c r="B442" s="1" t="s">
        <v>14</v>
      </c>
      <c r="C442" s="3">
        <v>2498</v>
      </c>
      <c r="D442" s="3">
        <v>2516</v>
      </c>
      <c r="E442" s="3">
        <v>2460</v>
      </c>
      <c r="F442" s="3">
        <v>2543.6999999999998</v>
      </c>
      <c r="G442" s="3">
        <v>2506</v>
      </c>
      <c r="H442" s="3">
        <v>2507.9</v>
      </c>
      <c r="I442" s="3">
        <v>2502.73</v>
      </c>
      <c r="J442" s="3">
        <v>3345</v>
      </c>
      <c r="K442" s="3">
        <v>2025</v>
      </c>
      <c r="L442" s="1" t="s">
        <v>185</v>
      </c>
      <c r="M442" s="1" t="s">
        <v>186</v>
      </c>
      <c r="N442" s="4">
        <v>41308</v>
      </c>
      <c r="O442" s="7">
        <f t="shared" si="24"/>
        <v>-1.4073986712269422</v>
      </c>
      <c r="P442" s="8">
        <f t="shared" si="25"/>
        <v>56</v>
      </c>
      <c r="Q442" s="7">
        <f t="shared" si="26"/>
        <v>16.845865207707948</v>
      </c>
      <c r="R442" s="7">
        <f t="shared" si="27"/>
        <v>-25.025411061285496</v>
      </c>
    </row>
    <row r="443" spans="1:18" ht="14.4" customHeight="1">
      <c r="A443" s="2">
        <v>45824</v>
      </c>
      <c r="B443" s="1" t="s">
        <v>14</v>
      </c>
      <c r="C443" s="3">
        <v>2500</v>
      </c>
      <c r="D443" s="3">
        <v>2563.3000000000002</v>
      </c>
      <c r="E443" s="3">
        <v>2462</v>
      </c>
      <c r="F443" s="3">
        <v>2507.9</v>
      </c>
      <c r="G443" s="3">
        <v>2539.9</v>
      </c>
      <c r="H443" s="3">
        <v>2544</v>
      </c>
      <c r="I443" s="3">
        <v>2527.44</v>
      </c>
      <c r="J443" s="3">
        <v>3345</v>
      </c>
      <c r="K443" s="3">
        <v>2025</v>
      </c>
      <c r="L443" s="1" t="s">
        <v>183</v>
      </c>
      <c r="M443" s="1" t="s">
        <v>184</v>
      </c>
      <c r="N443" s="4">
        <v>41826</v>
      </c>
      <c r="O443" s="7">
        <f t="shared" si="24"/>
        <v>1.439451333785235</v>
      </c>
      <c r="P443" s="8">
        <f t="shared" si="25"/>
        <v>101.30000000000018</v>
      </c>
      <c r="Q443" s="7">
        <f t="shared" si="26"/>
        <v>22.867570410749295</v>
      </c>
      <c r="R443" s="7">
        <f t="shared" si="27"/>
        <v>-23.946188340807176</v>
      </c>
    </row>
    <row r="444" spans="1:18" ht="14.4" customHeight="1">
      <c r="A444" s="2">
        <v>45825</v>
      </c>
      <c r="B444" s="1" t="s">
        <v>14</v>
      </c>
      <c r="C444" s="3">
        <v>2535</v>
      </c>
      <c r="D444" s="3">
        <v>2539.6</v>
      </c>
      <c r="E444" s="3">
        <v>2479</v>
      </c>
      <c r="F444" s="3">
        <v>2544</v>
      </c>
      <c r="G444" s="3">
        <v>2485.1999999999998</v>
      </c>
      <c r="H444" s="3">
        <v>2488.5</v>
      </c>
      <c r="I444" s="3">
        <v>2499.54</v>
      </c>
      <c r="J444" s="3">
        <v>3345</v>
      </c>
      <c r="K444" s="3">
        <v>2025</v>
      </c>
      <c r="L444" s="1" t="s">
        <v>181</v>
      </c>
      <c r="M444" s="1" t="s">
        <v>182</v>
      </c>
      <c r="N444" s="4">
        <v>34502</v>
      </c>
      <c r="O444" s="7">
        <f t="shared" si="24"/>
        <v>-2.1816037735849054</v>
      </c>
      <c r="P444" s="8">
        <f t="shared" si="25"/>
        <v>60.599999999999909</v>
      </c>
      <c r="Q444" s="7">
        <f t="shared" si="26"/>
        <v>20.385571850907194</v>
      </c>
      <c r="R444" s="7">
        <f t="shared" si="27"/>
        <v>-25.605381165919283</v>
      </c>
    </row>
    <row r="445" spans="1:18" ht="14.4" customHeight="1">
      <c r="A445" s="2">
        <v>45826</v>
      </c>
      <c r="B445" s="1" t="s">
        <v>14</v>
      </c>
      <c r="C445" s="3">
        <v>2491.9</v>
      </c>
      <c r="D445" s="3">
        <v>2495.9</v>
      </c>
      <c r="E445" s="3">
        <v>2445.4</v>
      </c>
      <c r="F445" s="3">
        <v>2488.5</v>
      </c>
      <c r="G445" s="3">
        <v>2456.9</v>
      </c>
      <c r="H445" s="3">
        <v>2459.1</v>
      </c>
      <c r="I445" s="3">
        <v>2467.9</v>
      </c>
      <c r="J445" s="3">
        <v>3345</v>
      </c>
      <c r="K445" s="3">
        <v>2025</v>
      </c>
      <c r="L445" s="1" t="s">
        <v>179</v>
      </c>
      <c r="M445" s="1" t="s">
        <v>180</v>
      </c>
      <c r="N445" s="4">
        <v>40514</v>
      </c>
      <c r="O445" s="7">
        <f t="shared" si="24"/>
        <v>-1.1814345991561217</v>
      </c>
      <c r="P445" s="8">
        <f t="shared" si="25"/>
        <v>50.5</v>
      </c>
      <c r="Q445" s="7">
        <f t="shared" si="26"/>
        <v>16.464530779483635</v>
      </c>
      <c r="R445" s="7">
        <f t="shared" si="27"/>
        <v>-26.48430493273543</v>
      </c>
    </row>
    <row r="446" spans="1:18" ht="14.4" customHeight="1">
      <c r="A446" s="2">
        <v>45827</v>
      </c>
      <c r="B446" s="1" t="s">
        <v>14</v>
      </c>
      <c r="C446" s="3">
        <v>2466.3000000000002</v>
      </c>
      <c r="D446" s="3">
        <v>2468.9</v>
      </c>
      <c r="E446" s="3">
        <v>2405.1</v>
      </c>
      <c r="F446" s="3">
        <v>2459.1</v>
      </c>
      <c r="G446" s="3">
        <v>2414</v>
      </c>
      <c r="H446" s="3">
        <v>2420.6</v>
      </c>
      <c r="I446" s="3">
        <v>2431.1799999999998</v>
      </c>
      <c r="J446" s="3">
        <v>3345</v>
      </c>
      <c r="K446" s="3">
        <v>2025</v>
      </c>
      <c r="L446" s="1" t="s">
        <v>177</v>
      </c>
      <c r="M446" s="1" t="s">
        <v>178</v>
      </c>
      <c r="N446" s="4">
        <v>46707</v>
      </c>
      <c r="O446" s="7">
        <f t="shared" si="24"/>
        <v>-1.565613435809849</v>
      </c>
      <c r="P446" s="8">
        <f t="shared" si="25"/>
        <v>63.800000000000182</v>
      </c>
      <c r="Q446" s="7">
        <f t="shared" si="26"/>
        <v>14.734600809300533</v>
      </c>
      <c r="R446" s="7">
        <f t="shared" si="27"/>
        <v>-27.635276532137521</v>
      </c>
    </row>
    <row r="447" spans="1:18" ht="14.4" customHeight="1">
      <c r="A447" s="2">
        <v>45828</v>
      </c>
      <c r="B447" s="1" t="s">
        <v>14</v>
      </c>
      <c r="C447" s="3">
        <v>2428</v>
      </c>
      <c r="D447" s="3">
        <v>2461.3000000000002</v>
      </c>
      <c r="E447" s="3">
        <v>2415</v>
      </c>
      <c r="F447" s="3">
        <v>2420.6</v>
      </c>
      <c r="G447" s="3">
        <v>2449.6</v>
      </c>
      <c r="H447" s="3">
        <v>2448.4</v>
      </c>
      <c r="I447" s="3">
        <v>2447.4899999999998</v>
      </c>
      <c r="J447" s="3">
        <v>3345</v>
      </c>
      <c r="K447" s="3">
        <v>2025</v>
      </c>
      <c r="L447" s="1" t="s">
        <v>175</v>
      </c>
      <c r="M447" s="1" t="s">
        <v>176</v>
      </c>
      <c r="N447" s="4">
        <v>67242</v>
      </c>
      <c r="O447" s="7">
        <f t="shared" si="24"/>
        <v>1.1484755845658177</v>
      </c>
      <c r="P447" s="8">
        <f t="shared" si="25"/>
        <v>46.300000000000182</v>
      </c>
      <c r="Q447" s="7">
        <f t="shared" si="26"/>
        <v>44.652880640076141</v>
      </c>
      <c r="R447" s="7">
        <f t="shared" si="27"/>
        <v>-26.804185351270547</v>
      </c>
    </row>
    <row r="448" spans="1:18" ht="14.4" customHeight="1">
      <c r="A448" s="2">
        <v>45831</v>
      </c>
      <c r="B448" s="1" t="s">
        <v>14</v>
      </c>
      <c r="C448" s="3">
        <v>2438</v>
      </c>
      <c r="D448" s="3">
        <v>2492.6</v>
      </c>
      <c r="E448" s="3">
        <v>2421</v>
      </c>
      <c r="F448" s="3">
        <v>2448.4</v>
      </c>
      <c r="G448" s="3">
        <v>2466</v>
      </c>
      <c r="H448" s="3">
        <v>2472</v>
      </c>
      <c r="I448" s="3">
        <v>2467.6999999999998</v>
      </c>
      <c r="J448" s="3">
        <v>3258</v>
      </c>
      <c r="K448" s="3">
        <v>2025</v>
      </c>
      <c r="L448" s="1" t="s">
        <v>173</v>
      </c>
      <c r="M448" s="1" t="s">
        <v>174</v>
      </c>
      <c r="N448" s="4">
        <v>34421</v>
      </c>
      <c r="O448" s="7">
        <f t="shared" si="24"/>
        <v>0.96389478843325882</v>
      </c>
      <c r="P448" s="8">
        <f t="shared" si="25"/>
        <v>71.599999999999909</v>
      </c>
      <c r="Q448" s="7">
        <f t="shared" si="26"/>
        <v>22.966648267046281</v>
      </c>
      <c r="R448" s="7">
        <f t="shared" si="27"/>
        <v>-24.125230202578269</v>
      </c>
    </row>
    <row r="449" spans="1:18" ht="14.4" customHeight="1">
      <c r="A449" s="2">
        <v>45832</v>
      </c>
      <c r="B449" s="1" t="s">
        <v>14</v>
      </c>
      <c r="C449" s="3">
        <v>2504</v>
      </c>
      <c r="D449" s="3">
        <v>2544.6</v>
      </c>
      <c r="E449" s="3">
        <v>2500.1999999999998</v>
      </c>
      <c r="F449" s="3">
        <v>2472</v>
      </c>
      <c r="G449" s="3">
        <v>2505</v>
      </c>
      <c r="H449" s="3">
        <v>2505.6</v>
      </c>
      <c r="I449" s="3">
        <v>2523.06</v>
      </c>
      <c r="J449" s="3">
        <v>3258</v>
      </c>
      <c r="K449" s="3">
        <v>2025</v>
      </c>
      <c r="L449" s="1" t="s">
        <v>171</v>
      </c>
      <c r="M449" s="1" t="s">
        <v>172</v>
      </c>
      <c r="N449" s="4">
        <v>53316</v>
      </c>
      <c r="O449" s="7">
        <f t="shared" si="24"/>
        <v>1.3592233009708701</v>
      </c>
      <c r="P449" s="8">
        <f t="shared" si="25"/>
        <v>44.400000000000091</v>
      </c>
      <c r="Q449" s="7">
        <f t="shared" si="26"/>
        <v>18.688667566959261</v>
      </c>
      <c r="R449" s="7">
        <f t="shared" si="27"/>
        <v>-23.093922651933703</v>
      </c>
    </row>
    <row r="450" spans="1:18" ht="14.4" customHeight="1">
      <c r="A450" s="2">
        <v>45833</v>
      </c>
      <c r="B450" s="1" t="s">
        <v>14</v>
      </c>
      <c r="C450" s="3">
        <v>2519.9</v>
      </c>
      <c r="D450" s="3">
        <v>2541.6</v>
      </c>
      <c r="E450" s="3">
        <v>2512.1</v>
      </c>
      <c r="F450" s="3">
        <v>2505.6</v>
      </c>
      <c r="G450" s="3">
        <v>2530</v>
      </c>
      <c r="H450" s="3">
        <v>2527.1999999999998</v>
      </c>
      <c r="I450" s="3">
        <v>2527.87</v>
      </c>
      <c r="J450" s="3">
        <v>3258</v>
      </c>
      <c r="K450" s="3">
        <v>2025</v>
      </c>
      <c r="L450" s="1" t="s">
        <v>169</v>
      </c>
      <c r="M450" s="1" t="s">
        <v>170</v>
      </c>
      <c r="N450" s="4">
        <v>34059</v>
      </c>
      <c r="O450" s="7">
        <f t="shared" ref="O450:O513" si="28">((H450-F450)/F450)*100</f>
        <v>0.86206896551723777</v>
      </c>
      <c r="P450" s="8">
        <f t="shared" ref="P450:P513" si="29">(D450-E450)</f>
        <v>29.5</v>
      </c>
      <c r="Q450" s="7">
        <f t="shared" ref="Q450:Q513" si="30">IF(N450=0,0,L450/N450)</f>
        <v>27.051469508793563</v>
      </c>
      <c r="R450" s="7">
        <f t="shared" ref="R450:R513" si="31">((H450-J450)/J450)*100</f>
        <v>-22.430939226519342</v>
      </c>
    </row>
    <row r="451" spans="1:18" ht="14.4" customHeight="1">
      <c r="A451" s="2">
        <v>45834</v>
      </c>
      <c r="B451" s="1" t="s">
        <v>14</v>
      </c>
      <c r="C451" s="3">
        <v>2535</v>
      </c>
      <c r="D451" s="3">
        <v>2593.6</v>
      </c>
      <c r="E451" s="3">
        <v>2522.1999999999998</v>
      </c>
      <c r="F451" s="3">
        <v>2527.1999999999998</v>
      </c>
      <c r="G451" s="3">
        <v>2580</v>
      </c>
      <c r="H451" s="3">
        <v>2586.1999999999998</v>
      </c>
      <c r="I451" s="3">
        <v>2559.96</v>
      </c>
      <c r="J451" s="3">
        <v>3258</v>
      </c>
      <c r="K451" s="3">
        <v>2025</v>
      </c>
      <c r="L451" s="1" t="s">
        <v>167</v>
      </c>
      <c r="M451" s="1" t="s">
        <v>168</v>
      </c>
      <c r="N451" s="4">
        <v>57666</v>
      </c>
      <c r="O451" s="7">
        <f t="shared" si="28"/>
        <v>2.3345995568217792</v>
      </c>
      <c r="P451" s="8">
        <f t="shared" si="29"/>
        <v>71.400000000000091</v>
      </c>
      <c r="Q451" s="7">
        <f t="shared" si="30"/>
        <v>23.230794575659836</v>
      </c>
      <c r="R451" s="7">
        <f t="shared" si="31"/>
        <v>-20.620012277470849</v>
      </c>
    </row>
    <row r="452" spans="1:18" ht="14.4" customHeight="1">
      <c r="A452" s="2">
        <v>45835</v>
      </c>
      <c r="B452" s="1" t="s">
        <v>14</v>
      </c>
      <c r="C452" s="3">
        <v>2587.6999999999998</v>
      </c>
      <c r="D452" s="3">
        <v>2681.6</v>
      </c>
      <c r="E452" s="3">
        <v>2582</v>
      </c>
      <c r="F452" s="3">
        <v>2586.1999999999998</v>
      </c>
      <c r="G452" s="3">
        <v>2644.8</v>
      </c>
      <c r="H452" s="3">
        <v>2646.3</v>
      </c>
      <c r="I452" s="3">
        <v>2642.47</v>
      </c>
      <c r="J452" s="3">
        <v>3258</v>
      </c>
      <c r="K452" s="3">
        <v>2025</v>
      </c>
      <c r="L452" s="1" t="s">
        <v>164</v>
      </c>
      <c r="M452" s="1" t="s">
        <v>165</v>
      </c>
      <c r="N452" s="1" t="s">
        <v>166</v>
      </c>
      <c r="O452" s="7">
        <f t="shared" si="28"/>
        <v>2.3238728636609842</v>
      </c>
      <c r="P452" s="8">
        <f t="shared" si="29"/>
        <v>99.599999999999909</v>
      </c>
      <c r="Q452" s="7">
        <f t="shared" si="30"/>
        <v>33.275394236221246</v>
      </c>
      <c r="R452" s="7">
        <f t="shared" si="31"/>
        <v>-18.775322283609572</v>
      </c>
    </row>
    <row r="453" spans="1:18" ht="14.4" customHeight="1">
      <c r="A453" s="2">
        <v>45838</v>
      </c>
      <c r="B453" s="1" t="s">
        <v>14</v>
      </c>
      <c r="C453" s="3">
        <v>2650</v>
      </c>
      <c r="D453" s="3">
        <v>2653.9</v>
      </c>
      <c r="E453" s="3">
        <v>2605.9</v>
      </c>
      <c r="F453" s="3">
        <v>2646.3</v>
      </c>
      <c r="G453" s="3">
        <v>2624.8</v>
      </c>
      <c r="H453" s="3">
        <v>2619.4</v>
      </c>
      <c r="I453" s="3">
        <v>2623.16</v>
      </c>
      <c r="J453" s="3">
        <v>3258</v>
      </c>
      <c r="K453" s="3">
        <v>2025</v>
      </c>
      <c r="L453" s="1" t="s">
        <v>162</v>
      </c>
      <c r="M453" s="1" t="s">
        <v>163</v>
      </c>
      <c r="N453" s="4">
        <v>51699</v>
      </c>
      <c r="O453" s="7">
        <f t="shared" si="28"/>
        <v>-1.0165136227940932</v>
      </c>
      <c r="P453" s="8">
        <f t="shared" si="29"/>
        <v>48</v>
      </c>
      <c r="Q453" s="7">
        <f t="shared" si="30"/>
        <v>13.439621656124876</v>
      </c>
      <c r="R453" s="7">
        <f t="shared" si="31"/>
        <v>-19.600982197667278</v>
      </c>
    </row>
    <row r="454" spans="1:18" ht="14.4" customHeight="1">
      <c r="A454" s="2">
        <v>45839</v>
      </c>
      <c r="B454" s="1" t="s">
        <v>14</v>
      </c>
      <c r="C454" s="3">
        <v>2624.9</v>
      </c>
      <c r="D454" s="3">
        <v>2645</v>
      </c>
      <c r="E454" s="3">
        <v>2603</v>
      </c>
      <c r="F454" s="3">
        <v>2619.4</v>
      </c>
      <c r="G454" s="3">
        <v>2626</v>
      </c>
      <c r="H454" s="3">
        <v>2621.8</v>
      </c>
      <c r="I454" s="3">
        <v>2625.01</v>
      </c>
      <c r="J454" s="3">
        <v>3258</v>
      </c>
      <c r="K454" s="3">
        <v>2025</v>
      </c>
      <c r="L454" s="1" t="s">
        <v>160</v>
      </c>
      <c r="M454" s="1" t="s">
        <v>161</v>
      </c>
      <c r="N454" s="4">
        <v>37539</v>
      </c>
      <c r="O454" s="7">
        <f t="shared" si="28"/>
        <v>9.1624036038790976E-2</v>
      </c>
      <c r="P454" s="8">
        <f t="shared" si="29"/>
        <v>42</v>
      </c>
      <c r="Q454" s="7">
        <f t="shared" si="30"/>
        <v>19.42505128000213</v>
      </c>
      <c r="R454" s="7">
        <f t="shared" si="31"/>
        <v>-19.527317372621233</v>
      </c>
    </row>
    <row r="455" spans="1:18" ht="14.4" customHeight="1">
      <c r="A455" s="2">
        <v>45840</v>
      </c>
      <c r="B455" s="1" t="s">
        <v>14</v>
      </c>
      <c r="C455" s="3">
        <v>2634</v>
      </c>
      <c r="D455" s="3">
        <v>2646</v>
      </c>
      <c r="E455" s="3">
        <v>2613.6</v>
      </c>
      <c r="F455" s="3">
        <v>2621.8</v>
      </c>
      <c r="G455" s="3">
        <v>2629</v>
      </c>
      <c r="H455" s="3">
        <v>2630.2</v>
      </c>
      <c r="I455" s="3">
        <v>2630.67</v>
      </c>
      <c r="J455" s="3">
        <v>3258</v>
      </c>
      <c r="K455" s="3">
        <v>2025</v>
      </c>
      <c r="L455" s="1" t="s">
        <v>158</v>
      </c>
      <c r="M455" s="1" t="s">
        <v>159</v>
      </c>
      <c r="N455" s="4">
        <v>34383</v>
      </c>
      <c r="O455" s="7">
        <f t="shared" si="28"/>
        <v>0.32039057136317173</v>
      </c>
      <c r="P455" s="8">
        <f t="shared" si="29"/>
        <v>32.400000000000091</v>
      </c>
      <c r="Q455" s="7">
        <f t="shared" si="30"/>
        <v>18.073146613151849</v>
      </c>
      <c r="R455" s="7">
        <f t="shared" si="31"/>
        <v>-19.269490484960102</v>
      </c>
    </row>
    <row r="456" spans="1:18" ht="14.4" customHeight="1">
      <c r="A456" s="2">
        <v>45841</v>
      </c>
      <c r="B456" s="1" t="s">
        <v>14</v>
      </c>
      <c r="C456" s="3">
        <v>2634</v>
      </c>
      <c r="D456" s="3">
        <v>2644</v>
      </c>
      <c r="E456" s="3">
        <v>2605.1</v>
      </c>
      <c r="F456" s="3">
        <v>2630.2</v>
      </c>
      <c r="G456" s="3">
        <v>2608</v>
      </c>
      <c r="H456" s="3">
        <v>2611.1999999999998</v>
      </c>
      <c r="I456" s="3">
        <v>2618.1</v>
      </c>
      <c r="J456" s="3">
        <v>3258</v>
      </c>
      <c r="K456" s="3">
        <v>2025</v>
      </c>
      <c r="L456" s="1" t="s">
        <v>156</v>
      </c>
      <c r="M456" s="1" t="s">
        <v>157</v>
      </c>
      <c r="N456" s="4">
        <v>29883</v>
      </c>
      <c r="O456" s="7">
        <f t="shared" si="28"/>
        <v>-0.7223785263478063</v>
      </c>
      <c r="P456" s="8">
        <f t="shared" si="29"/>
        <v>38.900000000000091</v>
      </c>
      <c r="Q456" s="7">
        <f t="shared" si="30"/>
        <v>16.82307666566275</v>
      </c>
      <c r="R456" s="7">
        <f t="shared" si="31"/>
        <v>-19.852670349907925</v>
      </c>
    </row>
    <row r="457" spans="1:18" ht="14.4" customHeight="1">
      <c r="A457" s="2">
        <v>45842</v>
      </c>
      <c r="B457" s="1" t="s">
        <v>14</v>
      </c>
      <c r="C457" s="3">
        <v>2617</v>
      </c>
      <c r="D457" s="3">
        <v>2617</v>
      </c>
      <c r="E457" s="3">
        <v>2582.1999999999998</v>
      </c>
      <c r="F457" s="3">
        <v>2611.1999999999998</v>
      </c>
      <c r="G457" s="3">
        <v>2599</v>
      </c>
      <c r="H457" s="3">
        <v>2599.1</v>
      </c>
      <c r="I457" s="3">
        <v>2599.15</v>
      </c>
      <c r="J457" s="3">
        <v>3258</v>
      </c>
      <c r="K457" s="3">
        <v>2025</v>
      </c>
      <c r="L457" s="1" t="s">
        <v>154</v>
      </c>
      <c r="M457" s="1" t="s">
        <v>155</v>
      </c>
      <c r="N457" s="4">
        <v>25138</v>
      </c>
      <c r="O457" s="7">
        <f t="shared" si="28"/>
        <v>-0.46338848039215341</v>
      </c>
      <c r="P457" s="8">
        <f t="shared" si="29"/>
        <v>34.800000000000182</v>
      </c>
      <c r="Q457" s="7">
        <f t="shared" si="30"/>
        <v>14.730885511973904</v>
      </c>
      <c r="R457" s="7">
        <f t="shared" si="31"/>
        <v>-20.224063842848373</v>
      </c>
    </row>
    <row r="458" spans="1:18" ht="14.4" customHeight="1">
      <c r="A458" s="2">
        <v>45845</v>
      </c>
      <c r="B458" s="1" t="s">
        <v>14</v>
      </c>
      <c r="C458" s="3">
        <v>2602</v>
      </c>
      <c r="D458" s="3">
        <v>2605.4</v>
      </c>
      <c r="E458" s="3">
        <v>2572</v>
      </c>
      <c r="F458" s="3">
        <v>2599.1</v>
      </c>
      <c r="G458" s="3">
        <v>2587.6</v>
      </c>
      <c r="H458" s="3">
        <v>2576.1</v>
      </c>
      <c r="I458" s="3">
        <v>2582.98</v>
      </c>
      <c r="J458" s="3">
        <v>3258</v>
      </c>
      <c r="K458" s="3">
        <v>2025</v>
      </c>
      <c r="L458" s="1" t="s">
        <v>152</v>
      </c>
      <c r="M458" s="1" t="s">
        <v>153</v>
      </c>
      <c r="N458" s="4">
        <v>30384</v>
      </c>
      <c r="O458" s="7">
        <f t="shared" si="28"/>
        <v>-0.8849217036666539</v>
      </c>
      <c r="P458" s="8">
        <f t="shared" si="29"/>
        <v>33.400000000000091</v>
      </c>
      <c r="Q458" s="7">
        <f t="shared" si="30"/>
        <v>13.565001316482359</v>
      </c>
      <c r="R458" s="7">
        <f t="shared" si="31"/>
        <v>-20.930018416206263</v>
      </c>
    </row>
    <row r="459" spans="1:18" ht="14.4" customHeight="1">
      <c r="A459" s="2">
        <v>45846</v>
      </c>
      <c r="B459" s="1" t="s">
        <v>14</v>
      </c>
      <c r="C459" s="3">
        <v>2586</v>
      </c>
      <c r="D459" s="3">
        <v>2600</v>
      </c>
      <c r="E459" s="3">
        <v>2573</v>
      </c>
      <c r="F459" s="3">
        <v>2576.1</v>
      </c>
      <c r="G459" s="3">
        <v>2588</v>
      </c>
      <c r="H459" s="3">
        <v>2591.3000000000002</v>
      </c>
      <c r="I459" s="3">
        <v>2585.46</v>
      </c>
      <c r="J459" s="3">
        <v>3258</v>
      </c>
      <c r="K459" s="3">
        <v>2025</v>
      </c>
      <c r="L459" s="1" t="s">
        <v>150</v>
      </c>
      <c r="M459" s="1" t="s">
        <v>151</v>
      </c>
      <c r="N459" s="4">
        <v>24369</v>
      </c>
      <c r="O459" s="7">
        <f t="shared" si="28"/>
        <v>0.59003920655255127</v>
      </c>
      <c r="P459" s="8">
        <f t="shared" si="29"/>
        <v>27</v>
      </c>
      <c r="Q459" s="7">
        <f t="shared" si="30"/>
        <v>14.678525996142641</v>
      </c>
      <c r="R459" s="7">
        <f t="shared" si="31"/>
        <v>-20.463474524247999</v>
      </c>
    </row>
    <row r="460" spans="1:18" ht="14.4" customHeight="1">
      <c r="A460" s="2">
        <v>45847</v>
      </c>
      <c r="B460" s="1" t="s">
        <v>14</v>
      </c>
      <c r="C460" s="3">
        <v>2599</v>
      </c>
      <c r="D460" s="3">
        <v>2609.9</v>
      </c>
      <c r="E460" s="3">
        <v>2570</v>
      </c>
      <c r="F460" s="3">
        <v>2591.3000000000002</v>
      </c>
      <c r="G460" s="3">
        <v>2582.3000000000002</v>
      </c>
      <c r="H460" s="3">
        <v>2583</v>
      </c>
      <c r="I460" s="3">
        <v>2588.4699999999998</v>
      </c>
      <c r="J460" s="3">
        <v>3258</v>
      </c>
      <c r="K460" s="3">
        <v>2025</v>
      </c>
      <c r="L460" s="1" t="s">
        <v>148</v>
      </c>
      <c r="M460" s="1" t="s">
        <v>149</v>
      </c>
      <c r="N460" s="4">
        <v>25511</v>
      </c>
      <c r="O460" s="7">
        <f t="shared" si="28"/>
        <v>-0.32030255084321307</v>
      </c>
      <c r="P460" s="8">
        <f t="shared" si="29"/>
        <v>39.900000000000091</v>
      </c>
      <c r="Q460" s="7">
        <f t="shared" si="30"/>
        <v>15.557210615028811</v>
      </c>
      <c r="R460" s="7">
        <f t="shared" si="31"/>
        <v>-20.718232044198896</v>
      </c>
    </row>
    <row r="461" spans="1:18" ht="14.4" customHeight="1">
      <c r="A461" s="2">
        <v>45848</v>
      </c>
      <c r="B461" s="1" t="s">
        <v>14</v>
      </c>
      <c r="C461" s="3">
        <v>2591</v>
      </c>
      <c r="D461" s="3">
        <v>2604</v>
      </c>
      <c r="E461" s="3">
        <v>2575</v>
      </c>
      <c r="F461" s="3">
        <v>2583</v>
      </c>
      <c r="G461" s="3">
        <v>2581</v>
      </c>
      <c r="H461" s="3">
        <v>2581</v>
      </c>
      <c r="I461" s="3">
        <v>2586</v>
      </c>
      <c r="J461" s="3">
        <v>3258</v>
      </c>
      <c r="K461" s="3">
        <v>2025</v>
      </c>
      <c r="L461" s="1" t="s">
        <v>146</v>
      </c>
      <c r="M461" s="1" t="s">
        <v>147</v>
      </c>
      <c r="N461" s="4">
        <v>24631</v>
      </c>
      <c r="O461" s="7">
        <f t="shared" si="28"/>
        <v>-7.7429345722028642E-2</v>
      </c>
      <c r="P461" s="8">
        <f t="shared" si="29"/>
        <v>29</v>
      </c>
      <c r="Q461" s="7">
        <f t="shared" si="30"/>
        <v>12.446307498680525</v>
      </c>
      <c r="R461" s="7">
        <f t="shared" si="31"/>
        <v>-20.779619398403927</v>
      </c>
    </row>
    <row r="462" spans="1:18" ht="14.4" customHeight="1">
      <c r="A462" s="2">
        <v>45849</v>
      </c>
      <c r="B462" s="1" t="s">
        <v>14</v>
      </c>
      <c r="C462" s="3">
        <v>2575</v>
      </c>
      <c r="D462" s="3">
        <v>2591.9</v>
      </c>
      <c r="E462" s="3">
        <v>2551.9</v>
      </c>
      <c r="F462" s="3">
        <v>2581</v>
      </c>
      <c r="G462" s="3">
        <v>2562.9</v>
      </c>
      <c r="H462" s="3">
        <v>2558.6999999999998</v>
      </c>
      <c r="I462" s="3">
        <v>2567.75</v>
      </c>
      <c r="J462" s="3">
        <v>3258</v>
      </c>
      <c r="K462" s="3">
        <v>2025</v>
      </c>
      <c r="L462" s="1" t="s">
        <v>144</v>
      </c>
      <c r="M462" s="1" t="s">
        <v>145</v>
      </c>
      <c r="N462" s="4">
        <v>26150</v>
      </c>
      <c r="O462" s="7">
        <f t="shared" si="28"/>
        <v>-0.86400619914762422</v>
      </c>
      <c r="P462" s="8">
        <f t="shared" si="29"/>
        <v>40</v>
      </c>
      <c r="Q462" s="7">
        <f t="shared" si="30"/>
        <v>14.938623326959847</v>
      </c>
      <c r="R462" s="7">
        <f t="shared" si="31"/>
        <v>-21.464088397790061</v>
      </c>
    </row>
    <row r="463" spans="1:18" ht="14.4" customHeight="1">
      <c r="A463" s="2">
        <v>45852</v>
      </c>
      <c r="B463" s="1" t="s">
        <v>14</v>
      </c>
      <c r="C463" s="3">
        <v>2555</v>
      </c>
      <c r="D463" s="3">
        <v>2604.8000000000002</v>
      </c>
      <c r="E463" s="3">
        <v>2543.5</v>
      </c>
      <c r="F463" s="3">
        <v>2558.6999999999998</v>
      </c>
      <c r="G463" s="3">
        <v>2578</v>
      </c>
      <c r="H463" s="3">
        <v>2581.3000000000002</v>
      </c>
      <c r="I463" s="3">
        <v>2576.63</v>
      </c>
      <c r="J463" s="3">
        <v>3258</v>
      </c>
      <c r="K463" s="3">
        <v>2025</v>
      </c>
      <c r="L463" s="1" t="s">
        <v>142</v>
      </c>
      <c r="M463" s="1" t="s">
        <v>143</v>
      </c>
      <c r="N463" s="4">
        <v>34764</v>
      </c>
      <c r="O463" s="7">
        <f t="shared" si="28"/>
        <v>0.88326103099231512</v>
      </c>
      <c r="P463" s="8">
        <f t="shared" si="29"/>
        <v>61.300000000000182</v>
      </c>
      <c r="Q463" s="7">
        <f t="shared" si="30"/>
        <v>15.435076515936025</v>
      </c>
      <c r="R463" s="7">
        <f t="shared" si="31"/>
        <v>-20.770411295273167</v>
      </c>
    </row>
    <row r="464" spans="1:18" ht="14.4" customHeight="1">
      <c r="A464" s="2">
        <v>45853</v>
      </c>
      <c r="B464" s="1" t="s">
        <v>14</v>
      </c>
      <c r="C464" s="3">
        <v>2588</v>
      </c>
      <c r="D464" s="3">
        <v>2606.9</v>
      </c>
      <c r="E464" s="3">
        <v>2576</v>
      </c>
      <c r="F464" s="3">
        <v>2581.3000000000002</v>
      </c>
      <c r="G464" s="3">
        <v>2603.1</v>
      </c>
      <c r="H464" s="3">
        <v>2598.1999999999998</v>
      </c>
      <c r="I464" s="3">
        <v>2593.15</v>
      </c>
      <c r="J464" s="3">
        <v>3258</v>
      </c>
      <c r="K464" s="3">
        <v>2025</v>
      </c>
      <c r="L464" s="1" t="s">
        <v>140</v>
      </c>
      <c r="M464" s="1" t="s">
        <v>141</v>
      </c>
      <c r="N464" s="4">
        <v>24377</v>
      </c>
      <c r="O464" s="7">
        <f t="shared" si="28"/>
        <v>0.65470886762482605</v>
      </c>
      <c r="P464" s="8">
        <f t="shared" si="29"/>
        <v>30.900000000000091</v>
      </c>
      <c r="Q464" s="7">
        <f t="shared" si="30"/>
        <v>15.564876728063338</v>
      </c>
      <c r="R464" s="7">
        <f t="shared" si="31"/>
        <v>-20.251688152240643</v>
      </c>
    </row>
    <row r="465" spans="1:18" ht="14.4" customHeight="1">
      <c r="A465" s="2">
        <v>45854</v>
      </c>
      <c r="B465" s="1" t="s">
        <v>14</v>
      </c>
      <c r="C465" s="3">
        <v>2602.5</v>
      </c>
      <c r="D465" s="3">
        <v>2619.5</v>
      </c>
      <c r="E465" s="3">
        <v>2595.5</v>
      </c>
      <c r="F465" s="3">
        <v>2598.1999999999998</v>
      </c>
      <c r="G465" s="3">
        <v>2608.1999999999998</v>
      </c>
      <c r="H465" s="3">
        <v>2608.5</v>
      </c>
      <c r="I465" s="3">
        <v>2610.5500000000002</v>
      </c>
      <c r="J465" s="3">
        <v>3258</v>
      </c>
      <c r="K465" s="3">
        <v>2025</v>
      </c>
      <c r="L465" s="1" t="s">
        <v>138</v>
      </c>
      <c r="M465" s="1" t="s">
        <v>139</v>
      </c>
      <c r="N465" s="4">
        <v>37057</v>
      </c>
      <c r="O465" s="7">
        <f t="shared" si="28"/>
        <v>0.39642829651297751</v>
      </c>
      <c r="P465" s="8">
        <f t="shared" si="29"/>
        <v>24</v>
      </c>
      <c r="Q465" s="7">
        <f t="shared" si="30"/>
        <v>18.529400653048008</v>
      </c>
      <c r="R465" s="7">
        <f t="shared" si="31"/>
        <v>-19.935543278084715</v>
      </c>
    </row>
    <row r="466" spans="1:18" ht="14.4" customHeight="1">
      <c r="A466" s="2">
        <v>45855</v>
      </c>
      <c r="B466" s="1" t="s">
        <v>14</v>
      </c>
      <c r="C466" s="3">
        <v>2612</v>
      </c>
      <c r="D466" s="3">
        <v>2654.5</v>
      </c>
      <c r="E466" s="3">
        <v>2605.3000000000002</v>
      </c>
      <c r="F466" s="3">
        <v>2608.5</v>
      </c>
      <c r="G466" s="3">
        <v>2614.9</v>
      </c>
      <c r="H466" s="3">
        <v>2616.6</v>
      </c>
      <c r="I466" s="3">
        <v>2628.55</v>
      </c>
      <c r="J466" s="3">
        <v>3258</v>
      </c>
      <c r="K466" s="3">
        <v>2025</v>
      </c>
      <c r="L466" s="1" t="s">
        <v>136</v>
      </c>
      <c r="M466" s="1" t="s">
        <v>137</v>
      </c>
      <c r="N466" s="4">
        <v>43962</v>
      </c>
      <c r="O466" s="7">
        <f t="shared" si="28"/>
        <v>0.31052328924669004</v>
      </c>
      <c r="P466" s="8">
        <f t="shared" si="29"/>
        <v>49.199999999999818</v>
      </c>
      <c r="Q466" s="7">
        <f t="shared" si="30"/>
        <v>17.873868340839817</v>
      </c>
      <c r="R466" s="7">
        <f t="shared" si="31"/>
        <v>-19.686924493554329</v>
      </c>
    </row>
    <row r="467" spans="1:18" ht="14.4" customHeight="1">
      <c r="A467" s="2">
        <v>45856</v>
      </c>
      <c r="B467" s="1" t="s">
        <v>14</v>
      </c>
      <c r="C467" s="3">
        <v>2612</v>
      </c>
      <c r="D467" s="3">
        <v>2626.7</v>
      </c>
      <c r="E467" s="3">
        <v>2584.1999999999998</v>
      </c>
      <c r="F467" s="3">
        <v>2616.6</v>
      </c>
      <c r="G467" s="3">
        <v>2594.1999999999998</v>
      </c>
      <c r="H467" s="3">
        <v>2596.1</v>
      </c>
      <c r="I467" s="3">
        <v>2599.8000000000002</v>
      </c>
      <c r="J467" s="3">
        <v>3258</v>
      </c>
      <c r="K467" s="3">
        <v>2025</v>
      </c>
      <c r="L467" s="1" t="s">
        <v>134</v>
      </c>
      <c r="M467" s="1" t="s">
        <v>135</v>
      </c>
      <c r="N467" s="4">
        <v>32389</v>
      </c>
      <c r="O467" s="7">
        <f t="shared" si="28"/>
        <v>-0.78345945119620897</v>
      </c>
      <c r="P467" s="8">
        <f t="shared" si="29"/>
        <v>42.5</v>
      </c>
      <c r="Q467" s="7">
        <f t="shared" si="30"/>
        <v>14.818055512674055</v>
      </c>
      <c r="R467" s="7">
        <f t="shared" si="31"/>
        <v>-20.316144874155924</v>
      </c>
    </row>
    <row r="468" spans="1:18" ht="14.4" customHeight="1">
      <c r="A468" s="2">
        <v>45859</v>
      </c>
      <c r="B468" s="1" t="s">
        <v>14</v>
      </c>
      <c r="C468" s="3">
        <v>2596.3000000000002</v>
      </c>
      <c r="D468" s="3">
        <v>2624.9</v>
      </c>
      <c r="E468" s="3">
        <v>2585</v>
      </c>
      <c r="F468" s="3">
        <v>2596.1</v>
      </c>
      <c r="G468" s="3">
        <v>2615.6999999999998</v>
      </c>
      <c r="H468" s="3">
        <v>2619.5</v>
      </c>
      <c r="I468" s="3">
        <v>2612.2199999999998</v>
      </c>
      <c r="J468" s="3">
        <v>3258</v>
      </c>
      <c r="K468" s="3">
        <v>2025</v>
      </c>
      <c r="L468" s="1" t="s">
        <v>132</v>
      </c>
      <c r="M468" s="1" t="s">
        <v>133</v>
      </c>
      <c r="N468" s="4">
        <v>28077</v>
      </c>
      <c r="O468" s="7">
        <f t="shared" si="28"/>
        <v>0.9013520280420666</v>
      </c>
      <c r="P468" s="8">
        <f t="shared" si="29"/>
        <v>39.900000000000091</v>
      </c>
      <c r="Q468" s="7">
        <f t="shared" si="30"/>
        <v>13.170281725255547</v>
      </c>
      <c r="R468" s="7">
        <f t="shared" si="31"/>
        <v>-19.597912829957028</v>
      </c>
    </row>
    <row r="469" spans="1:18" ht="14.4" customHeight="1">
      <c r="A469" s="2">
        <v>45860</v>
      </c>
      <c r="B469" s="1" t="s">
        <v>14</v>
      </c>
      <c r="C469" s="3">
        <v>2626</v>
      </c>
      <c r="D469" s="3">
        <v>2630</v>
      </c>
      <c r="E469" s="3">
        <v>2581.6</v>
      </c>
      <c r="F469" s="3">
        <v>2619.5</v>
      </c>
      <c r="G469" s="3">
        <v>2593.9</v>
      </c>
      <c r="H469" s="3">
        <v>2587.8000000000002</v>
      </c>
      <c r="I469" s="3">
        <v>2599.9899999999998</v>
      </c>
      <c r="J469" s="3">
        <v>3258</v>
      </c>
      <c r="K469" s="3">
        <v>2025</v>
      </c>
      <c r="L469" s="1" t="s">
        <v>130</v>
      </c>
      <c r="M469" s="1" t="s">
        <v>131</v>
      </c>
      <c r="N469" s="4">
        <v>25897</v>
      </c>
      <c r="O469" s="7">
        <f t="shared" si="28"/>
        <v>-1.2101546096583249</v>
      </c>
      <c r="P469" s="8">
        <f t="shared" si="29"/>
        <v>48.400000000000091</v>
      </c>
      <c r="Q469" s="7">
        <f t="shared" si="30"/>
        <v>14.945939684133297</v>
      </c>
      <c r="R469" s="7">
        <f t="shared" si="31"/>
        <v>-20.570902394106806</v>
      </c>
    </row>
    <row r="470" spans="1:18" ht="14.4" customHeight="1">
      <c r="A470" s="2">
        <v>45861</v>
      </c>
      <c r="B470" s="1" t="s">
        <v>14</v>
      </c>
      <c r="C470" s="3">
        <v>2600.6999999999998</v>
      </c>
      <c r="D470" s="3">
        <v>2625.9</v>
      </c>
      <c r="E470" s="3">
        <v>2593.5</v>
      </c>
      <c r="F470" s="3">
        <v>2587.8000000000002</v>
      </c>
      <c r="G470" s="3">
        <v>2615.5</v>
      </c>
      <c r="H470" s="3">
        <v>2614.5</v>
      </c>
      <c r="I470" s="3">
        <v>2612.73</v>
      </c>
      <c r="J470" s="3">
        <v>3258</v>
      </c>
      <c r="K470" s="3">
        <v>2025</v>
      </c>
      <c r="L470" s="1" t="s">
        <v>128</v>
      </c>
      <c r="M470" s="1" t="s">
        <v>129</v>
      </c>
      <c r="N470" s="4">
        <v>24447</v>
      </c>
      <c r="O470" s="7">
        <f t="shared" si="28"/>
        <v>1.0317644331091975</v>
      </c>
      <c r="P470" s="8">
        <f t="shared" si="29"/>
        <v>32.400000000000091</v>
      </c>
      <c r="Q470" s="7">
        <f t="shared" si="30"/>
        <v>12.943265022293124</v>
      </c>
      <c r="R470" s="7">
        <f t="shared" si="31"/>
        <v>-19.751381215469614</v>
      </c>
    </row>
    <row r="471" spans="1:18" ht="14.4" customHeight="1">
      <c r="A471" s="2">
        <v>45862</v>
      </c>
      <c r="B471" s="1" t="s">
        <v>14</v>
      </c>
      <c r="C471" s="3">
        <v>2615.4</v>
      </c>
      <c r="D471" s="3">
        <v>2624.2</v>
      </c>
      <c r="E471" s="3">
        <v>2595</v>
      </c>
      <c r="F471" s="3">
        <v>2614.5</v>
      </c>
      <c r="G471" s="3">
        <v>2608</v>
      </c>
      <c r="H471" s="3">
        <v>2608.4</v>
      </c>
      <c r="I471" s="3">
        <v>2607.65</v>
      </c>
      <c r="J471" s="3">
        <v>3258</v>
      </c>
      <c r="K471" s="3">
        <v>2025</v>
      </c>
      <c r="L471" s="1" t="s">
        <v>126</v>
      </c>
      <c r="M471" s="1" t="s">
        <v>127</v>
      </c>
      <c r="N471" s="4">
        <v>22026</v>
      </c>
      <c r="O471" s="7">
        <f t="shared" si="28"/>
        <v>-0.2333142092178202</v>
      </c>
      <c r="P471" s="8">
        <f t="shared" si="29"/>
        <v>29.199999999999818</v>
      </c>
      <c r="Q471" s="7">
        <f t="shared" si="30"/>
        <v>11.521928629801144</v>
      </c>
      <c r="R471" s="7">
        <f t="shared" si="31"/>
        <v>-19.938612645794965</v>
      </c>
    </row>
    <row r="472" spans="1:18" ht="14.4" customHeight="1">
      <c r="A472" s="2">
        <v>45863</v>
      </c>
      <c r="B472" s="1" t="s">
        <v>14</v>
      </c>
      <c r="C472" s="3">
        <v>2605</v>
      </c>
      <c r="D472" s="3">
        <v>2617</v>
      </c>
      <c r="E472" s="3">
        <v>2544.1</v>
      </c>
      <c r="F472" s="3">
        <v>2608.4</v>
      </c>
      <c r="G472" s="3">
        <v>2549.5</v>
      </c>
      <c r="H472" s="3">
        <v>2550.1</v>
      </c>
      <c r="I472" s="3">
        <v>2568.46</v>
      </c>
      <c r="J472" s="3">
        <v>3258</v>
      </c>
      <c r="K472" s="3">
        <v>2025</v>
      </c>
      <c r="L472" s="1" t="s">
        <v>124</v>
      </c>
      <c r="M472" s="1" t="s">
        <v>125</v>
      </c>
      <c r="N472" s="4">
        <v>30247</v>
      </c>
      <c r="O472" s="7">
        <f t="shared" si="28"/>
        <v>-2.2350866431528975</v>
      </c>
      <c r="P472" s="8">
        <f t="shared" si="29"/>
        <v>72.900000000000091</v>
      </c>
      <c r="Q472" s="7">
        <f t="shared" si="30"/>
        <v>14.038152544053956</v>
      </c>
      <c r="R472" s="7">
        <f t="shared" si="31"/>
        <v>-21.728054020871703</v>
      </c>
    </row>
    <row r="473" spans="1:18" ht="14.4" customHeight="1">
      <c r="A473" s="2">
        <v>45866</v>
      </c>
      <c r="B473" s="1" t="s">
        <v>14</v>
      </c>
      <c r="C473" s="3">
        <v>2549</v>
      </c>
      <c r="D473" s="3">
        <v>2585</v>
      </c>
      <c r="E473" s="3">
        <v>2512.6</v>
      </c>
      <c r="F473" s="3">
        <v>2550.1</v>
      </c>
      <c r="G473" s="3">
        <v>2528</v>
      </c>
      <c r="H473" s="3">
        <v>2522.3000000000002</v>
      </c>
      <c r="I473" s="3">
        <v>2545.5500000000002</v>
      </c>
      <c r="J473" s="3">
        <v>3258</v>
      </c>
      <c r="K473" s="3">
        <v>2025</v>
      </c>
      <c r="L473" s="1" t="s">
        <v>122</v>
      </c>
      <c r="M473" s="1" t="s">
        <v>123</v>
      </c>
      <c r="N473" s="4">
        <v>33834</v>
      </c>
      <c r="O473" s="7">
        <f t="shared" si="28"/>
        <v>-1.0901533273204866</v>
      </c>
      <c r="P473" s="8">
        <f t="shared" si="29"/>
        <v>72.400000000000091</v>
      </c>
      <c r="Q473" s="7">
        <f t="shared" si="30"/>
        <v>12.662085476148253</v>
      </c>
      <c r="R473" s="7">
        <f t="shared" si="31"/>
        <v>-22.581338244321664</v>
      </c>
    </row>
    <row r="474" spans="1:18" ht="14.4" customHeight="1">
      <c r="A474" s="2">
        <v>45867</v>
      </c>
      <c r="B474" s="1" t="s">
        <v>14</v>
      </c>
      <c r="C474" s="3">
        <v>2529</v>
      </c>
      <c r="D474" s="3">
        <v>2557.4</v>
      </c>
      <c r="E474" s="3">
        <v>2507.5</v>
      </c>
      <c r="F474" s="3">
        <v>2522.3000000000002</v>
      </c>
      <c r="G474" s="3">
        <v>2545.5</v>
      </c>
      <c r="H474" s="3">
        <v>2547.9</v>
      </c>
      <c r="I474" s="3">
        <v>2534.7199999999998</v>
      </c>
      <c r="J474" s="3">
        <v>3258</v>
      </c>
      <c r="K474" s="3">
        <v>2025</v>
      </c>
      <c r="L474" s="1" t="s">
        <v>120</v>
      </c>
      <c r="M474" s="1" t="s">
        <v>121</v>
      </c>
      <c r="N474" s="4">
        <v>32528</v>
      </c>
      <c r="O474" s="7">
        <f t="shared" si="28"/>
        <v>1.01494667565317</v>
      </c>
      <c r="P474" s="8">
        <f t="shared" si="29"/>
        <v>49.900000000000091</v>
      </c>
      <c r="Q474" s="7">
        <f t="shared" si="30"/>
        <v>13.05893384161338</v>
      </c>
      <c r="R474" s="7">
        <f t="shared" si="31"/>
        <v>-21.795580110497234</v>
      </c>
    </row>
    <row r="475" spans="1:18" ht="14.4" customHeight="1">
      <c r="A475" s="2">
        <v>45868</v>
      </c>
      <c r="B475" s="1" t="s">
        <v>14</v>
      </c>
      <c r="C475" s="3">
        <v>2547.9</v>
      </c>
      <c r="D475" s="3">
        <v>2552.6</v>
      </c>
      <c r="E475" s="3">
        <v>2525</v>
      </c>
      <c r="F475" s="3">
        <v>2547.9</v>
      </c>
      <c r="G475" s="3">
        <v>2527</v>
      </c>
      <c r="H475" s="3">
        <v>2532.9</v>
      </c>
      <c r="I475" s="3">
        <v>2541.06</v>
      </c>
      <c r="J475" s="3">
        <v>3258</v>
      </c>
      <c r="K475" s="3">
        <v>2025</v>
      </c>
      <c r="L475" s="1" t="s">
        <v>118</v>
      </c>
      <c r="M475" s="1" t="s">
        <v>119</v>
      </c>
      <c r="N475" s="4">
        <v>22733</v>
      </c>
      <c r="O475" s="7">
        <f t="shared" si="28"/>
        <v>-0.58872012245378547</v>
      </c>
      <c r="P475" s="8">
        <f t="shared" si="29"/>
        <v>27.599999999999909</v>
      </c>
      <c r="Q475" s="7">
        <f t="shared" si="30"/>
        <v>11.527866977521665</v>
      </c>
      <c r="R475" s="7">
        <f t="shared" si="31"/>
        <v>-22.25598526703499</v>
      </c>
    </row>
    <row r="476" spans="1:18" ht="14.4" customHeight="1">
      <c r="A476" s="2">
        <v>45869</v>
      </c>
      <c r="B476" s="1" t="s">
        <v>14</v>
      </c>
      <c r="C476" s="3">
        <v>2509.9</v>
      </c>
      <c r="D476" s="3">
        <v>2520</v>
      </c>
      <c r="E476" s="3">
        <v>2422.6</v>
      </c>
      <c r="F476" s="3">
        <v>2532.9</v>
      </c>
      <c r="G476" s="3">
        <v>2430</v>
      </c>
      <c r="H476" s="3">
        <v>2430.6999999999998</v>
      </c>
      <c r="I476" s="3">
        <v>2466.4699999999998</v>
      </c>
      <c r="J476" s="3">
        <v>3258</v>
      </c>
      <c r="K476" s="3">
        <v>2025</v>
      </c>
      <c r="L476" s="1" t="s">
        <v>116</v>
      </c>
      <c r="M476" s="1" t="s">
        <v>117</v>
      </c>
      <c r="N476" s="4">
        <v>74728</v>
      </c>
      <c r="O476" s="7">
        <f t="shared" si="28"/>
        <v>-4.0349007066998404</v>
      </c>
      <c r="P476" s="8">
        <f t="shared" si="29"/>
        <v>97.400000000000091</v>
      </c>
      <c r="Q476" s="7">
        <f t="shared" si="30"/>
        <v>19.505620383256609</v>
      </c>
      <c r="R476" s="7">
        <f t="shared" si="31"/>
        <v>-25.392879066912222</v>
      </c>
    </row>
    <row r="477" spans="1:18" ht="14.4" customHeight="1">
      <c r="A477" s="2">
        <v>45870</v>
      </c>
      <c r="B477" s="1" t="s">
        <v>14</v>
      </c>
      <c r="C477" s="3">
        <v>2425</v>
      </c>
      <c r="D477" s="3">
        <v>2444.9</v>
      </c>
      <c r="E477" s="3">
        <v>2333</v>
      </c>
      <c r="F477" s="3">
        <v>2430.6999999999998</v>
      </c>
      <c r="G477" s="3">
        <v>2341.5</v>
      </c>
      <c r="H477" s="3">
        <v>2350.9</v>
      </c>
      <c r="I477" s="3">
        <v>2387.3000000000002</v>
      </c>
      <c r="J477" s="3">
        <v>3258</v>
      </c>
      <c r="K477" s="3">
        <v>2025</v>
      </c>
      <c r="L477" s="1" t="s">
        <v>114</v>
      </c>
      <c r="M477" s="1" t="s">
        <v>115</v>
      </c>
      <c r="N477" s="4">
        <v>50438</v>
      </c>
      <c r="O477" s="7">
        <f t="shared" si="28"/>
        <v>-3.2830048957090443</v>
      </c>
      <c r="P477" s="8">
        <f t="shared" si="29"/>
        <v>111.90000000000009</v>
      </c>
      <c r="Q477" s="7">
        <f t="shared" si="30"/>
        <v>19.357250485744874</v>
      </c>
      <c r="R477" s="7">
        <f t="shared" si="31"/>
        <v>-27.84223449969306</v>
      </c>
    </row>
    <row r="478" spans="1:18" ht="14.4" customHeight="1">
      <c r="A478" s="2">
        <v>45873</v>
      </c>
      <c r="B478" s="1" t="s">
        <v>14</v>
      </c>
      <c r="C478" s="3">
        <v>2360</v>
      </c>
      <c r="D478" s="3">
        <v>2374.6999999999998</v>
      </c>
      <c r="E478" s="3">
        <v>2338.1999999999998</v>
      </c>
      <c r="F478" s="3">
        <v>2350.9</v>
      </c>
      <c r="G478" s="3">
        <v>2364.6999999999998</v>
      </c>
      <c r="H478" s="3">
        <v>2363.6</v>
      </c>
      <c r="I478" s="3">
        <v>2358.52</v>
      </c>
      <c r="J478" s="3">
        <v>3242.65</v>
      </c>
      <c r="K478" s="3">
        <v>2025</v>
      </c>
      <c r="L478" s="1" t="s">
        <v>112</v>
      </c>
      <c r="M478" s="1" t="s">
        <v>113</v>
      </c>
      <c r="N478" s="4">
        <v>35680</v>
      </c>
      <c r="O478" s="7">
        <f t="shared" si="28"/>
        <v>0.54021863966990591</v>
      </c>
      <c r="P478" s="8">
        <f t="shared" si="29"/>
        <v>36.5</v>
      </c>
      <c r="Q478" s="7">
        <f t="shared" si="30"/>
        <v>16.155437219730942</v>
      </c>
      <c r="R478" s="7">
        <f t="shared" si="31"/>
        <v>-27.109000354648209</v>
      </c>
    </row>
    <row r="479" spans="1:18" ht="14.4" customHeight="1">
      <c r="A479" s="2">
        <v>45874</v>
      </c>
      <c r="B479" s="1" t="s">
        <v>14</v>
      </c>
      <c r="C479" s="3">
        <v>2370</v>
      </c>
      <c r="D479" s="3">
        <v>2370</v>
      </c>
      <c r="E479" s="3">
        <v>2316</v>
      </c>
      <c r="F479" s="3">
        <v>2363.6</v>
      </c>
      <c r="G479" s="3">
        <v>2333</v>
      </c>
      <c r="H479" s="3">
        <v>2328.1999999999998</v>
      </c>
      <c r="I479" s="3">
        <v>2333.4299999999998</v>
      </c>
      <c r="J479" s="3">
        <v>3242.65</v>
      </c>
      <c r="K479" s="3">
        <v>2025</v>
      </c>
      <c r="L479" s="1" t="s">
        <v>110</v>
      </c>
      <c r="M479" s="1" t="s">
        <v>111</v>
      </c>
      <c r="N479" s="4">
        <v>36761</v>
      </c>
      <c r="O479" s="7">
        <f t="shared" si="28"/>
        <v>-1.4977153494669189</v>
      </c>
      <c r="P479" s="8">
        <f t="shared" si="29"/>
        <v>54</v>
      </c>
      <c r="Q479" s="7">
        <f t="shared" si="30"/>
        <v>15.688963847555833</v>
      </c>
      <c r="R479" s="7">
        <f t="shared" si="31"/>
        <v>-28.20070004471652</v>
      </c>
    </row>
    <row r="480" spans="1:18" ht="14.4" customHeight="1">
      <c r="A480" s="2">
        <v>45875</v>
      </c>
      <c r="B480" s="1" t="s">
        <v>14</v>
      </c>
      <c r="C480" s="3">
        <v>2333.9</v>
      </c>
      <c r="D480" s="3">
        <v>2347.9</v>
      </c>
      <c r="E480" s="3">
        <v>2296</v>
      </c>
      <c r="F480" s="3">
        <v>2328.1999999999998</v>
      </c>
      <c r="G480" s="3">
        <v>2300</v>
      </c>
      <c r="H480" s="3">
        <v>2300.3000000000002</v>
      </c>
      <c r="I480" s="3">
        <v>2311.6</v>
      </c>
      <c r="J480" s="3">
        <v>3242.65</v>
      </c>
      <c r="K480" s="3">
        <v>2025</v>
      </c>
      <c r="L480" s="1" t="s">
        <v>108</v>
      </c>
      <c r="M480" s="1" t="s">
        <v>109</v>
      </c>
      <c r="N480" s="4">
        <v>35196</v>
      </c>
      <c r="O480" s="7">
        <f t="shared" si="28"/>
        <v>-1.1983506571600224</v>
      </c>
      <c r="P480" s="8">
        <f t="shared" si="29"/>
        <v>51.900000000000091</v>
      </c>
      <c r="Q480" s="7">
        <f t="shared" si="30"/>
        <v>17.944709626093875</v>
      </c>
      <c r="R480" s="7">
        <f t="shared" si="31"/>
        <v>-29.061107427566956</v>
      </c>
    </row>
    <row r="481" spans="1:18" ht="14.4" customHeight="1">
      <c r="A481" s="2">
        <v>45876</v>
      </c>
      <c r="B481" s="1" t="s">
        <v>14</v>
      </c>
      <c r="C481" s="3">
        <v>2290</v>
      </c>
      <c r="D481" s="3">
        <v>2295</v>
      </c>
      <c r="E481" s="3">
        <v>2202.8000000000002</v>
      </c>
      <c r="F481" s="3">
        <v>2300.3000000000002</v>
      </c>
      <c r="G481" s="3">
        <v>2245.9</v>
      </c>
      <c r="H481" s="3">
        <v>2249.8000000000002</v>
      </c>
      <c r="I481" s="3">
        <v>2244.12</v>
      </c>
      <c r="J481" s="3">
        <v>3242.65</v>
      </c>
      <c r="K481" s="3">
        <v>2025</v>
      </c>
      <c r="L481" s="1" t="s">
        <v>106</v>
      </c>
      <c r="M481" s="1" t="s">
        <v>107</v>
      </c>
      <c r="N481" s="4">
        <v>72389</v>
      </c>
      <c r="O481" s="7">
        <f t="shared" si="28"/>
        <v>-2.1953658218493239</v>
      </c>
      <c r="P481" s="8">
        <f t="shared" si="29"/>
        <v>92.199999999999818</v>
      </c>
      <c r="Q481" s="7">
        <f t="shared" si="30"/>
        <v>21.127657517026069</v>
      </c>
      <c r="R481" s="7">
        <f t="shared" si="31"/>
        <v>-30.618475629500558</v>
      </c>
    </row>
    <row r="482" spans="1:18" ht="14.4" customHeight="1">
      <c r="A482" s="2">
        <v>45877</v>
      </c>
      <c r="B482" s="1" t="s">
        <v>14</v>
      </c>
      <c r="C482" s="3">
        <v>2247</v>
      </c>
      <c r="D482" s="3">
        <v>2260.9</v>
      </c>
      <c r="E482" s="3">
        <v>2164.8000000000002</v>
      </c>
      <c r="F482" s="3">
        <v>2249.8000000000002</v>
      </c>
      <c r="G482" s="3">
        <v>2179</v>
      </c>
      <c r="H482" s="3">
        <v>2178.1</v>
      </c>
      <c r="I482" s="3">
        <v>2185.27</v>
      </c>
      <c r="J482" s="3">
        <v>3242.65</v>
      </c>
      <c r="K482" s="3">
        <v>2025</v>
      </c>
      <c r="L482" s="1" t="s">
        <v>103</v>
      </c>
      <c r="M482" s="1" t="s">
        <v>104</v>
      </c>
      <c r="N482" s="1" t="s">
        <v>105</v>
      </c>
      <c r="O482" s="7">
        <f t="shared" si="28"/>
        <v>-3.1869499511067767</v>
      </c>
      <c r="P482" s="8">
        <f t="shared" si="29"/>
        <v>96.099999999999909</v>
      </c>
      <c r="Q482" s="7">
        <f t="shared" si="30"/>
        <v>25.268859566633342</v>
      </c>
      <c r="R482" s="7">
        <f t="shared" si="31"/>
        <v>-32.829630086503329</v>
      </c>
    </row>
    <row r="483" spans="1:18" ht="14.4" customHeight="1">
      <c r="A483" s="2">
        <v>45880</v>
      </c>
      <c r="B483" s="1" t="s">
        <v>14</v>
      </c>
      <c r="C483" s="3">
        <v>2196</v>
      </c>
      <c r="D483" s="3">
        <v>2302</v>
      </c>
      <c r="E483" s="3">
        <v>2183</v>
      </c>
      <c r="F483" s="3">
        <v>2178.1</v>
      </c>
      <c r="G483" s="3">
        <v>2270.1999999999998</v>
      </c>
      <c r="H483" s="3">
        <v>2283.4</v>
      </c>
      <c r="I483" s="3">
        <v>2257.64</v>
      </c>
      <c r="J483" s="3">
        <v>3211</v>
      </c>
      <c r="K483" s="3">
        <v>2025</v>
      </c>
      <c r="L483" s="1" t="s">
        <v>100</v>
      </c>
      <c r="M483" s="1" t="s">
        <v>101</v>
      </c>
      <c r="N483" s="1" t="s">
        <v>102</v>
      </c>
      <c r="O483" s="7">
        <f t="shared" si="28"/>
        <v>4.8344887746200902</v>
      </c>
      <c r="P483" s="8">
        <f t="shared" si="29"/>
        <v>119</v>
      </c>
      <c r="Q483" s="7">
        <f t="shared" si="30"/>
        <v>20.09170386904762</v>
      </c>
      <c r="R483" s="7">
        <f t="shared" si="31"/>
        <v>-28.888196823419491</v>
      </c>
    </row>
    <row r="484" spans="1:18" ht="14.4" customHeight="1">
      <c r="A484" s="2">
        <v>45881</v>
      </c>
      <c r="B484" s="1" t="s">
        <v>14</v>
      </c>
      <c r="C484" s="3">
        <v>2280.1</v>
      </c>
      <c r="D484" s="3">
        <v>2314.6999999999998</v>
      </c>
      <c r="E484" s="3">
        <v>2267</v>
      </c>
      <c r="F484" s="3">
        <v>2283.4</v>
      </c>
      <c r="G484" s="3">
        <v>2294.5</v>
      </c>
      <c r="H484" s="3">
        <v>2288.1999999999998</v>
      </c>
      <c r="I484" s="3">
        <v>2290.14</v>
      </c>
      <c r="J484" s="3">
        <v>3211</v>
      </c>
      <c r="K484" s="3">
        <v>2025</v>
      </c>
      <c r="L484" s="1" t="s">
        <v>98</v>
      </c>
      <c r="M484" s="1" t="s">
        <v>99</v>
      </c>
      <c r="N484" s="4">
        <v>61725</v>
      </c>
      <c r="O484" s="7">
        <f t="shared" si="28"/>
        <v>0.21021284050099531</v>
      </c>
      <c r="P484" s="8">
        <f t="shared" si="29"/>
        <v>47.699999999999818</v>
      </c>
      <c r="Q484" s="7">
        <f t="shared" si="30"/>
        <v>17.42447954637505</v>
      </c>
      <c r="R484" s="7">
        <f t="shared" si="31"/>
        <v>-28.738710682030526</v>
      </c>
    </row>
    <row r="485" spans="1:18" ht="14.4" customHeight="1">
      <c r="A485" s="2">
        <v>45882</v>
      </c>
      <c r="B485" s="1" t="s">
        <v>14</v>
      </c>
      <c r="C485" s="3">
        <v>2299</v>
      </c>
      <c r="D485" s="3">
        <v>2314.9</v>
      </c>
      <c r="E485" s="3">
        <v>2245.4</v>
      </c>
      <c r="F485" s="3">
        <v>2288.1999999999998</v>
      </c>
      <c r="G485" s="3">
        <v>2287</v>
      </c>
      <c r="H485" s="3">
        <v>2280.1</v>
      </c>
      <c r="I485" s="3">
        <v>2278.92</v>
      </c>
      <c r="J485" s="3">
        <v>3211</v>
      </c>
      <c r="K485" s="3">
        <v>2025</v>
      </c>
      <c r="L485" s="1" t="s">
        <v>96</v>
      </c>
      <c r="M485" s="1" t="s">
        <v>97</v>
      </c>
      <c r="N485" s="4">
        <v>42397</v>
      </c>
      <c r="O485" s="7">
        <f t="shared" si="28"/>
        <v>-0.3539900358360244</v>
      </c>
      <c r="P485" s="8">
        <f t="shared" si="29"/>
        <v>69.5</v>
      </c>
      <c r="Q485" s="7">
        <f t="shared" si="30"/>
        <v>19.663631860744864</v>
      </c>
      <c r="R485" s="7">
        <f t="shared" si="31"/>
        <v>-28.990968545624419</v>
      </c>
    </row>
    <row r="486" spans="1:18" ht="14.4" customHeight="1">
      <c r="A486" s="2">
        <v>45883</v>
      </c>
      <c r="B486" s="1" t="s">
        <v>14</v>
      </c>
      <c r="C486" s="3">
        <v>2288</v>
      </c>
      <c r="D486" s="3">
        <v>2304</v>
      </c>
      <c r="E486" s="3">
        <v>2267.6999999999998</v>
      </c>
      <c r="F486" s="3">
        <v>2280.1</v>
      </c>
      <c r="G486" s="3">
        <v>2280.1</v>
      </c>
      <c r="H486" s="3">
        <v>2281.6</v>
      </c>
      <c r="I486" s="3">
        <v>2285.6</v>
      </c>
      <c r="J486" s="3">
        <v>3211</v>
      </c>
      <c r="K486" s="3">
        <v>2025</v>
      </c>
      <c r="L486" s="1" t="s">
        <v>94</v>
      </c>
      <c r="M486" s="1" t="s">
        <v>95</v>
      </c>
      <c r="N486" s="4">
        <v>39420</v>
      </c>
      <c r="O486" s="7">
        <f t="shared" si="28"/>
        <v>6.5786588307530369E-2</v>
      </c>
      <c r="P486" s="8">
        <f t="shared" si="29"/>
        <v>36.300000000000182</v>
      </c>
      <c r="Q486" s="7">
        <f t="shared" si="30"/>
        <v>25.31986301369863</v>
      </c>
      <c r="R486" s="7">
        <f t="shared" si="31"/>
        <v>-28.944254126440367</v>
      </c>
    </row>
    <row r="487" spans="1:18" ht="14.4" customHeight="1">
      <c r="A487" s="2">
        <v>45887</v>
      </c>
      <c r="B487" s="1" t="s">
        <v>14</v>
      </c>
      <c r="C487" s="3">
        <v>2309.6</v>
      </c>
      <c r="D487" s="3">
        <v>2360</v>
      </c>
      <c r="E487" s="3">
        <v>2300</v>
      </c>
      <c r="F487" s="3">
        <v>2281.6</v>
      </c>
      <c r="G487" s="3">
        <v>2325.5</v>
      </c>
      <c r="H487" s="3">
        <v>2333.6</v>
      </c>
      <c r="I487" s="3">
        <v>2339.34</v>
      </c>
      <c r="J487" s="3">
        <v>3211</v>
      </c>
      <c r="K487" s="3">
        <v>2025</v>
      </c>
      <c r="L487" s="1" t="s">
        <v>92</v>
      </c>
      <c r="M487" s="1" t="s">
        <v>93</v>
      </c>
      <c r="N487" s="4">
        <v>45655</v>
      </c>
      <c r="O487" s="7">
        <f t="shared" si="28"/>
        <v>2.2791023842917251</v>
      </c>
      <c r="P487" s="8">
        <f t="shared" si="29"/>
        <v>60</v>
      </c>
      <c r="Q487" s="7">
        <f t="shared" si="30"/>
        <v>21.65434235023546</v>
      </c>
      <c r="R487" s="7">
        <f t="shared" si="31"/>
        <v>-27.324820928059797</v>
      </c>
    </row>
    <row r="488" spans="1:18" ht="14.4" customHeight="1">
      <c r="A488" s="2">
        <v>45888</v>
      </c>
      <c r="B488" s="1" t="s">
        <v>14</v>
      </c>
      <c r="C488" s="3">
        <v>2339.9</v>
      </c>
      <c r="D488" s="3">
        <v>2395.6</v>
      </c>
      <c r="E488" s="3">
        <v>2314.1</v>
      </c>
      <c r="F488" s="3">
        <v>2333.6</v>
      </c>
      <c r="G488" s="3">
        <v>2380.6999999999998</v>
      </c>
      <c r="H488" s="3">
        <v>2388.4</v>
      </c>
      <c r="I488" s="3">
        <v>2368.1799999999998</v>
      </c>
      <c r="J488" s="3">
        <v>3211</v>
      </c>
      <c r="K488" s="3">
        <v>2025</v>
      </c>
      <c r="L488" s="1" t="s">
        <v>90</v>
      </c>
      <c r="M488" s="1" t="s">
        <v>91</v>
      </c>
      <c r="N488" s="4">
        <v>58469</v>
      </c>
      <c r="O488" s="7">
        <f t="shared" si="28"/>
        <v>2.3483030510798848</v>
      </c>
      <c r="P488" s="8">
        <f t="shared" si="29"/>
        <v>81.5</v>
      </c>
      <c r="Q488" s="7">
        <f t="shared" si="30"/>
        <v>18.290581333698199</v>
      </c>
      <c r="R488" s="7">
        <f t="shared" si="31"/>
        <v>-25.618187480535653</v>
      </c>
    </row>
    <row r="489" spans="1:18" ht="14.4" customHeight="1">
      <c r="A489" s="2">
        <v>45889</v>
      </c>
      <c r="B489" s="1" t="s">
        <v>14</v>
      </c>
      <c r="C489" s="3">
        <v>2380</v>
      </c>
      <c r="D489" s="3">
        <v>2406</v>
      </c>
      <c r="E489" s="3">
        <v>2372.1</v>
      </c>
      <c r="F489" s="3">
        <v>2388.4</v>
      </c>
      <c r="G489" s="3">
        <v>2391</v>
      </c>
      <c r="H489" s="3">
        <v>2387.1</v>
      </c>
      <c r="I489" s="3">
        <v>2389.9299999999998</v>
      </c>
      <c r="J489" s="3">
        <v>3211</v>
      </c>
      <c r="K489" s="3">
        <v>2025</v>
      </c>
      <c r="L489" s="1" t="s">
        <v>88</v>
      </c>
      <c r="M489" s="1" t="s">
        <v>89</v>
      </c>
      <c r="N489" s="4">
        <v>34030</v>
      </c>
      <c r="O489" s="7">
        <f t="shared" si="28"/>
        <v>-5.4429743761521598E-2</v>
      </c>
      <c r="P489" s="8">
        <f t="shared" si="29"/>
        <v>33.900000000000091</v>
      </c>
      <c r="Q489" s="7">
        <f t="shared" si="30"/>
        <v>22.921686746987952</v>
      </c>
      <c r="R489" s="7">
        <f t="shared" si="31"/>
        <v>-25.658673310495178</v>
      </c>
    </row>
    <row r="490" spans="1:18" ht="14.4" customHeight="1">
      <c r="A490" s="2">
        <v>45890</v>
      </c>
      <c r="B490" s="1" t="s">
        <v>14</v>
      </c>
      <c r="C490" s="3">
        <v>2387.1</v>
      </c>
      <c r="D490" s="3">
        <v>2397</v>
      </c>
      <c r="E490" s="3">
        <v>2371.4</v>
      </c>
      <c r="F490" s="3">
        <v>2387.1</v>
      </c>
      <c r="G490" s="3">
        <v>2373</v>
      </c>
      <c r="H490" s="3">
        <v>2377.1999999999998</v>
      </c>
      <c r="I490" s="3">
        <v>2384.83</v>
      </c>
      <c r="J490" s="3">
        <v>3211</v>
      </c>
      <c r="K490" s="3">
        <v>2025</v>
      </c>
      <c r="L490" s="1" t="s">
        <v>86</v>
      </c>
      <c r="M490" s="1" t="s">
        <v>87</v>
      </c>
      <c r="N490" s="4">
        <v>24817</v>
      </c>
      <c r="O490" s="7">
        <f t="shared" si="28"/>
        <v>-0.41472916928491022</v>
      </c>
      <c r="P490" s="8">
        <f t="shared" si="29"/>
        <v>25.599999999999909</v>
      </c>
      <c r="Q490" s="7">
        <f t="shared" si="30"/>
        <v>17.805012692912118</v>
      </c>
      <c r="R490" s="7">
        <f t="shared" si="31"/>
        <v>-25.966988477109943</v>
      </c>
    </row>
    <row r="491" spans="1:18" ht="14.4" customHeight="1">
      <c r="A491" s="2">
        <v>45891</v>
      </c>
      <c r="B491" s="1" t="s">
        <v>14</v>
      </c>
      <c r="C491" s="3">
        <v>2369.9</v>
      </c>
      <c r="D491" s="3">
        <v>2376.3000000000002</v>
      </c>
      <c r="E491" s="3">
        <v>2321</v>
      </c>
      <c r="F491" s="3">
        <v>2377.1999999999998</v>
      </c>
      <c r="G491" s="3">
        <v>2323</v>
      </c>
      <c r="H491" s="3">
        <v>2324.9</v>
      </c>
      <c r="I491" s="3">
        <v>2338.1799999999998</v>
      </c>
      <c r="J491" s="3">
        <v>3211</v>
      </c>
      <c r="K491" s="3">
        <v>2025</v>
      </c>
      <c r="L491" s="1" t="s">
        <v>84</v>
      </c>
      <c r="M491" s="1" t="s">
        <v>85</v>
      </c>
      <c r="N491" s="4">
        <v>34341</v>
      </c>
      <c r="O491" s="7">
        <f t="shared" si="28"/>
        <v>-2.2000673060743621</v>
      </c>
      <c r="P491" s="8">
        <f t="shared" si="29"/>
        <v>55.300000000000182</v>
      </c>
      <c r="Q491" s="7">
        <f t="shared" si="30"/>
        <v>17.012055560408839</v>
      </c>
      <c r="R491" s="7">
        <f t="shared" si="31"/>
        <v>-27.595764559327307</v>
      </c>
    </row>
    <row r="492" spans="1:18" ht="14.4" customHeight="1">
      <c r="A492" s="2">
        <v>45894</v>
      </c>
      <c r="B492" s="1" t="s">
        <v>14</v>
      </c>
      <c r="C492" s="3">
        <v>2335.6999999999998</v>
      </c>
      <c r="D492" s="3">
        <v>2348.4</v>
      </c>
      <c r="E492" s="3">
        <v>2300</v>
      </c>
      <c r="F492" s="3">
        <v>2324.9</v>
      </c>
      <c r="G492" s="3">
        <v>2302.8000000000002</v>
      </c>
      <c r="H492" s="3">
        <v>2302.9</v>
      </c>
      <c r="I492" s="3">
        <v>2317.89</v>
      </c>
      <c r="J492" s="3">
        <v>3211</v>
      </c>
      <c r="K492" s="3">
        <v>2025</v>
      </c>
      <c r="L492" s="1" t="s">
        <v>82</v>
      </c>
      <c r="M492" s="1" t="s">
        <v>83</v>
      </c>
      <c r="N492" s="4">
        <v>28277</v>
      </c>
      <c r="O492" s="7">
        <f t="shared" si="28"/>
        <v>-0.94627725923695638</v>
      </c>
      <c r="P492" s="8">
        <f t="shared" si="29"/>
        <v>48.400000000000091</v>
      </c>
      <c r="Q492" s="7">
        <f t="shared" si="30"/>
        <v>19.18361212292676</v>
      </c>
      <c r="R492" s="7">
        <f t="shared" si="31"/>
        <v>-28.280909374026781</v>
      </c>
    </row>
    <row r="493" spans="1:18" ht="14.4" customHeight="1">
      <c r="A493" s="2">
        <v>45895</v>
      </c>
      <c r="B493" s="1" t="s">
        <v>14</v>
      </c>
      <c r="C493" s="3">
        <v>2304</v>
      </c>
      <c r="D493" s="3">
        <v>2309.3000000000002</v>
      </c>
      <c r="E493" s="3">
        <v>2249.4</v>
      </c>
      <c r="F493" s="3">
        <v>2302.9</v>
      </c>
      <c r="G493" s="3">
        <v>2286</v>
      </c>
      <c r="H493" s="3">
        <v>2272</v>
      </c>
      <c r="I493" s="3">
        <v>2271.65</v>
      </c>
      <c r="J493" s="3">
        <v>3211</v>
      </c>
      <c r="K493" s="3">
        <v>2025</v>
      </c>
      <c r="L493" s="1" t="s">
        <v>80</v>
      </c>
      <c r="M493" s="1" t="s">
        <v>81</v>
      </c>
      <c r="N493" s="4">
        <v>49449</v>
      </c>
      <c r="O493" s="7">
        <f t="shared" si="28"/>
        <v>-1.3417864431803417</v>
      </c>
      <c r="P493" s="8">
        <f t="shared" si="29"/>
        <v>59.900000000000091</v>
      </c>
      <c r="Q493" s="7">
        <f t="shared" si="30"/>
        <v>21.669801209326781</v>
      </c>
      <c r="R493" s="7">
        <f t="shared" si="31"/>
        <v>-29.243226409218316</v>
      </c>
    </row>
    <row r="494" spans="1:18" ht="14.4" customHeight="1">
      <c r="A494" s="2">
        <v>45897</v>
      </c>
      <c r="B494" s="1" t="s">
        <v>14</v>
      </c>
      <c r="C494" s="3">
        <v>2271.9</v>
      </c>
      <c r="D494" s="3">
        <v>2327.9</v>
      </c>
      <c r="E494" s="3">
        <v>2255</v>
      </c>
      <c r="F494" s="3">
        <v>2272</v>
      </c>
      <c r="G494" s="3">
        <v>2282.1</v>
      </c>
      <c r="H494" s="3">
        <v>2275.1999999999998</v>
      </c>
      <c r="I494" s="3">
        <v>2295.19</v>
      </c>
      <c r="J494" s="3">
        <v>3211</v>
      </c>
      <c r="K494" s="3">
        <v>2025</v>
      </c>
      <c r="L494" s="1" t="s">
        <v>78</v>
      </c>
      <c r="M494" s="1" t="s">
        <v>79</v>
      </c>
      <c r="N494" s="4">
        <v>55327</v>
      </c>
      <c r="O494" s="7">
        <f t="shared" si="28"/>
        <v>0.1408450704225272</v>
      </c>
      <c r="P494" s="8">
        <f t="shared" si="29"/>
        <v>72.900000000000091</v>
      </c>
      <c r="Q494" s="7">
        <f t="shared" si="30"/>
        <v>16.409131165615342</v>
      </c>
      <c r="R494" s="7">
        <f t="shared" si="31"/>
        <v>-29.143568981625666</v>
      </c>
    </row>
    <row r="495" spans="1:18" ht="14.4" customHeight="1">
      <c r="A495" s="2">
        <v>45898</v>
      </c>
      <c r="B495" s="1" t="s">
        <v>14</v>
      </c>
      <c r="C495" s="3">
        <v>2283</v>
      </c>
      <c r="D495" s="3">
        <v>2289.6999999999998</v>
      </c>
      <c r="E495" s="3">
        <v>2240</v>
      </c>
      <c r="F495" s="3">
        <v>2275.1999999999998</v>
      </c>
      <c r="G495" s="3">
        <v>2247.9</v>
      </c>
      <c r="H495" s="3">
        <v>2244.6999999999998</v>
      </c>
      <c r="I495" s="3">
        <v>2257.7199999999998</v>
      </c>
      <c r="J495" s="3">
        <v>3211</v>
      </c>
      <c r="K495" s="3">
        <v>2025</v>
      </c>
      <c r="L495" s="1" t="s">
        <v>76</v>
      </c>
      <c r="M495" s="1" t="s">
        <v>77</v>
      </c>
      <c r="N495" s="4">
        <v>50217</v>
      </c>
      <c r="O495" s="7">
        <f t="shared" si="28"/>
        <v>-1.3405414908579467</v>
      </c>
      <c r="P495" s="8">
        <f t="shared" si="29"/>
        <v>49.699999999999818</v>
      </c>
      <c r="Q495" s="7">
        <f t="shared" si="30"/>
        <v>15.84521178087102</v>
      </c>
      <c r="R495" s="7">
        <f t="shared" si="31"/>
        <v>-30.093428838368112</v>
      </c>
    </row>
    <row r="496" spans="1:18" ht="14.4" customHeight="1">
      <c r="A496" s="2">
        <v>45901</v>
      </c>
      <c r="B496" s="1" t="s">
        <v>14</v>
      </c>
      <c r="C496" s="3">
        <v>2259</v>
      </c>
      <c r="D496" s="3">
        <v>2288</v>
      </c>
      <c r="E496" s="3">
        <v>2252.1</v>
      </c>
      <c r="F496" s="3">
        <v>2244.6999999999998</v>
      </c>
      <c r="G496" s="3">
        <v>2286.6</v>
      </c>
      <c r="H496" s="3">
        <v>2284.1999999999998</v>
      </c>
      <c r="I496" s="3">
        <v>2274.83</v>
      </c>
      <c r="J496" s="3">
        <v>3211</v>
      </c>
      <c r="K496" s="3">
        <v>2025</v>
      </c>
      <c r="L496" s="1" t="s">
        <v>74</v>
      </c>
      <c r="M496" s="1" t="s">
        <v>75</v>
      </c>
      <c r="N496" s="4">
        <v>29502</v>
      </c>
      <c r="O496" s="7">
        <f t="shared" si="28"/>
        <v>1.7597006281463003</v>
      </c>
      <c r="P496" s="8">
        <f t="shared" si="29"/>
        <v>35.900000000000091</v>
      </c>
      <c r="Q496" s="7">
        <f t="shared" si="30"/>
        <v>14.42746254491221</v>
      </c>
      <c r="R496" s="7">
        <f t="shared" si="31"/>
        <v>-28.863282466521341</v>
      </c>
    </row>
    <row r="497" spans="1:18" ht="14.4" customHeight="1">
      <c r="A497" s="2">
        <v>45902</v>
      </c>
      <c r="B497" s="1" t="s">
        <v>14</v>
      </c>
      <c r="C497" s="3">
        <v>2291</v>
      </c>
      <c r="D497" s="3">
        <v>2302</v>
      </c>
      <c r="E497" s="3">
        <v>2264</v>
      </c>
      <c r="F497" s="3">
        <v>2284.1999999999998</v>
      </c>
      <c r="G497" s="3">
        <v>2278</v>
      </c>
      <c r="H497" s="3">
        <v>2274.1999999999998</v>
      </c>
      <c r="I497" s="3">
        <v>2283.41</v>
      </c>
      <c r="J497" s="3">
        <v>3211</v>
      </c>
      <c r="K497" s="3">
        <v>2025</v>
      </c>
      <c r="L497" s="1" t="s">
        <v>72</v>
      </c>
      <c r="M497" s="1" t="s">
        <v>73</v>
      </c>
      <c r="N497" s="4">
        <v>37899</v>
      </c>
      <c r="O497" s="7">
        <f t="shared" si="28"/>
        <v>-0.43779003589878296</v>
      </c>
      <c r="P497" s="8">
        <f t="shared" si="29"/>
        <v>38</v>
      </c>
      <c r="Q497" s="7">
        <f t="shared" si="30"/>
        <v>12.715216760336684</v>
      </c>
      <c r="R497" s="7">
        <f t="shared" si="31"/>
        <v>-29.174711927748369</v>
      </c>
    </row>
    <row r="498" spans="1:18" ht="14.4" customHeight="1">
      <c r="A498" s="2">
        <v>45903</v>
      </c>
      <c r="B498" s="1" t="s">
        <v>14</v>
      </c>
      <c r="C498" s="3">
        <v>2285</v>
      </c>
      <c r="D498" s="3">
        <v>2293</v>
      </c>
      <c r="E498" s="3">
        <v>2263.1</v>
      </c>
      <c r="F498" s="3">
        <v>2274.1999999999998</v>
      </c>
      <c r="G498" s="3">
        <v>2292</v>
      </c>
      <c r="H498" s="3">
        <v>2288.6999999999998</v>
      </c>
      <c r="I498" s="3">
        <v>2279.5</v>
      </c>
      <c r="J498" s="3">
        <v>3211</v>
      </c>
      <c r="K498" s="3">
        <v>2025</v>
      </c>
      <c r="L498" s="1" t="s">
        <v>70</v>
      </c>
      <c r="M498" s="1" t="s">
        <v>71</v>
      </c>
      <c r="N498" s="4">
        <v>28773</v>
      </c>
      <c r="O498" s="7">
        <f t="shared" si="28"/>
        <v>0.63758684372526608</v>
      </c>
      <c r="P498" s="8">
        <f t="shared" si="29"/>
        <v>29.900000000000091</v>
      </c>
      <c r="Q498" s="7">
        <f t="shared" si="30"/>
        <v>15.41823932158621</v>
      </c>
      <c r="R498" s="7">
        <f t="shared" si="31"/>
        <v>-28.723139208969172</v>
      </c>
    </row>
    <row r="499" spans="1:18" ht="14.4" customHeight="1">
      <c r="A499" s="2">
        <v>45904</v>
      </c>
      <c r="B499" s="1" t="s">
        <v>14</v>
      </c>
      <c r="C499" s="3">
        <v>2309.9</v>
      </c>
      <c r="D499" s="3">
        <v>2317.3000000000002</v>
      </c>
      <c r="E499" s="3">
        <v>2275</v>
      </c>
      <c r="F499" s="3">
        <v>2288.6999999999998</v>
      </c>
      <c r="G499" s="3">
        <v>2280</v>
      </c>
      <c r="H499" s="3">
        <v>2278.8000000000002</v>
      </c>
      <c r="I499" s="3">
        <v>2291.33</v>
      </c>
      <c r="J499" s="3">
        <v>3211</v>
      </c>
      <c r="K499" s="3">
        <v>2025</v>
      </c>
      <c r="L499" s="1" t="s">
        <v>68</v>
      </c>
      <c r="M499" s="1" t="s">
        <v>69</v>
      </c>
      <c r="N499" s="4">
        <v>29912</v>
      </c>
      <c r="O499" s="7">
        <f t="shared" si="28"/>
        <v>-0.43255996854107737</v>
      </c>
      <c r="P499" s="8">
        <f t="shared" si="29"/>
        <v>42.300000000000182</v>
      </c>
      <c r="Q499" s="7">
        <f t="shared" si="30"/>
        <v>13.128410002674512</v>
      </c>
      <c r="R499" s="7">
        <f t="shared" si="31"/>
        <v>-29.031454375583927</v>
      </c>
    </row>
    <row r="500" spans="1:18" ht="14.4" customHeight="1">
      <c r="A500" s="2">
        <v>45905</v>
      </c>
      <c r="B500" s="1" t="s">
        <v>14</v>
      </c>
      <c r="C500" s="3">
        <v>2275</v>
      </c>
      <c r="D500" s="3">
        <v>2293.5</v>
      </c>
      <c r="E500" s="3">
        <v>2248</v>
      </c>
      <c r="F500" s="3">
        <v>2278.8000000000002</v>
      </c>
      <c r="G500" s="3">
        <v>2282.5</v>
      </c>
      <c r="H500" s="3">
        <v>2281.4</v>
      </c>
      <c r="I500" s="3">
        <v>2273.81</v>
      </c>
      <c r="J500" s="3">
        <v>3211</v>
      </c>
      <c r="K500" s="3">
        <v>2025</v>
      </c>
      <c r="L500" s="1" t="s">
        <v>66</v>
      </c>
      <c r="M500" s="1" t="s">
        <v>67</v>
      </c>
      <c r="N500" s="4">
        <v>28096</v>
      </c>
      <c r="O500" s="7">
        <f t="shared" si="28"/>
        <v>0.11409513779181625</v>
      </c>
      <c r="P500" s="8">
        <f t="shared" si="29"/>
        <v>45.5</v>
      </c>
      <c r="Q500" s="7">
        <f t="shared" si="30"/>
        <v>15.767724943052391</v>
      </c>
      <c r="R500" s="7">
        <f t="shared" si="31"/>
        <v>-28.950482715664901</v>
      </c>
    </row>
    <row r="501" spans="1:18" ht="14.4" customHeight="1">
      <c r="A501" s="2">
        <v>45908</v>
      </c>
      <c r="B501" s="1" t="s">
        <v>14</v>
      </c>
      <c r="C501" s="3">
        <v>2290</v>
      </c>
      <c r="D501" s="3">
        <v>2333.9</v>
      </c>
      <c r="E501" s="3">
        <v>2286</v>
      </c>
      <c r="F501" s="3">
        <v>2281.4</v>
      </c>
      <c r="G501" s="3">
        <v>2319</v>
      </c>
      <c r="H501" s="3">
        <v>2310.9</v>
      </c>
      <c r="I501" s="3">
        <v>2317.98</v>
      </c>
      <c r="J501" s="3">
        <v>3211</v>
      </c>
      <c r="K501" s="3">
        <v>2025</v>
      </c>
      <c r="L501" s="1" t="s">
        <v>64</v>
      </c>
      <c r="M501" s="1" t="s">
        <v>65</v>
      </c>
      <c r="N501" s="4">
        <v>33564</v>
      </c>
      <c r="O501" s="7">
        <f t="shared" si="28"/>
        <v>1.2930656614359604</v>
      </c>
      <c r="P501" s="8">
        <f t="shared" si="29"/>
        <v>47.900000000000091</v>
      </c>
      <c r="Q501" s="7">
        <f t="shared" si="30"/>
        <v>16.172416875223455</v>
      </c>
      <c r="R501" s="7">
        <f t="shared" si="31"/>
        <v>-28.031765805045154</v>
      </c>
    </row>
    <row r="502" spans="1:18" ht="14.4" customHeight="1">
      <c r="A502" s="2">
        <v>45909</v>
      </c>
      <c r="B502" s="1" t="s">
        <v>14</v>
      </c>
      <c r="C502" s="3">
        <v>2320</v>
      </c>
      <c r="D502" s="3">
        <v>2325</v>
      </c>
      <c r="E502" s="3">
        <v>2297</v>
      </c>
      <c r="F502" s="3">
        <v>2310.9</v>
      </c>
      <c r="G502" s="3">
        <v>2313.8000000000002</v>
      </c>
      <c r="H502" s="3">
        <v>2311.6</v>
      </c>
      <c r="I502" s="3">
        <v>2312.02</v>
      </c>
      <c r="J502" s="3">
        <v>3211</v>
      </c>
      <c r="K502" s="3">
        <v>2025</v>
      </c>
      <c r="L502" s="1" t="s">
        <v>62</v>
      </c>
      <c r="M502" s="1" t="s">
        <v>63</v>
      </c>
      <c r="N502" s="4">
        <v>25802</v>
      </c>
      <c r="O502" s="7">
        <f t="shared" si="28"/>
        <v>3.0291228525674761E-2</v>
      </c>
      <c r="P502" s="8">
        <f t="shared" si="29"/>
        <v>28</v>
      </c>
      <c r="Q502" s="7">
        <f t="shared" si="30"/>
        <v>14.317921091388264</v>
      </c>
      <c r="R502" s="7">
        <f t="shared" si="31"/>
        <v>-28.00996574275927</v>
      </c>
    </row>
    <row r="503" spans="1:18" ht="14.4" customHeight="1">
      <c r="A503" s="2">
        <v>45910</v>
      </c>
      <c r="B503" s="1" t="s">
        <v>14</v>
      </c>
      <c r="C503" s="3">
        <v>2330</v>
      </c>
      <c r="D503" s="3">
        <v>2345.9</v>
      </c>
      <c r="E503" s="3">
        <v>2325.1</v>
      </c>
      <c r="F503" s="3">
        <v>2311.6</v>
      </c>
      <c r="G503" s="3">
        <v>2340.8000000000002</v>
      </c>
      <c r="H503" s="3">
        <v>2340.1999999999998</v>
      </c>
      <c r="I503" s="3">
        <v>2337.73</v>
      </c>
      <c r="J503" s="3">
        <v>3211</v>
      </c>
      <c r="K503" s="3">
        <v>2025</v>
      </c>
      <c r="L503" s="1" t="s">
        <v>60</v>
      </c>
      <c r="M503" s="1" t="s">
        <v>61</v>
      </c>
      <c r="N503" s="4">
        <v>26122</v>
      </c>
      <c r="O503" s="7">
        <f t="shared" si="28"/>
        <v>1.2372382765184249</v>
      </c>
      <c r="P503" s="8">
        <f t="shared" si="29"/>
        <v>20.800000000000182</v>
      </c>
      <c r="Q503" s="7">
        <f t="shared" si="30"/>
        <v>14.948702243319808</v>
      </c>
      <c r="R503" s="7">
        <f t="shared" si="31"/>
        <v>-27.119277483649963</v>
      </c>
    </row>
    <row r="504" spans="1:18" ht="14.4" customHeight="1">
      <c r="A504" s="2">
        <v>45911</v>
      </c>
      <c r="B504" s="1" t="s">
        <v>14</v>
      </c>
      <c r="C504" s="3">
        <v>2348</v>
      </c>
      <c r="D504" s="3">
        <v>2418.6999999999998</v>
      </c>
      <c r="E504" s="3">
        <v>2340.1999999999998</v>
      </c>
      <c r="F504" s="3">
        <v>2340.1999999999998</v>
      </c>
      <c r="G504" s="3">
        <v>2408</v>
      </c>
      <c r="H504" s="3">
        <v>2398.8000000000002</v>
      </c>
      <c r="I504" s="3">
        <v>2394.0300000000002</v>
      </c>
      <c r="J504" s="3">
        <v>3211</v>
      </c>
      <c r="K504" s="3">
        <v>2025</v>
      </c>
      <c r="L504" s="1" t="s">
        <v>58</v>
      </c>
      <c r="M504" s="1" t="s">
        <v>59</v>
      </c>
      <c r="N504" s="4">
        <v>91785</v>
      </c>
      <c r="O504" s="7">
        <f t="shared" si="28"/>
        <v>2.5040594820955633</v>
      </c>
      <c r="P504" s="8">
        <f t="shared" si="29"/>
        <v>78.5</v>
      </c>
      <c r="Q504" s="7">
        <f t="shared" si="30"/>
        <v>23.009075557008227</v>
      </c>
      <c r="R504" s="7">
        <f t="shared" si="31"/>
        <v>-25.294300840859542</v>
      </c>
    </row>
    <row r="505" spans="1:18" ht="14.4" customHeight="1">
      <c r="A505" s="2">
        <v>45912</v>
      </c>
      <c r="B505" s="1" t="s">
        <v>14</v>
      </c>
      <c r="C505" s="3">
        <v>2416.9</v>
      </c>
      <c r="D505" s="3">
        <v>2421.6</v>
      </c>
      <c r="E505" s="3">
        <v>2387.1</v>
      </c>
      <c r="F505" s="3">
        <v>2398.8000000000002</v>
      </c>
      <c r="G505" s="3">
        <v>2389</v>
      </c>
      <c r="H505" s="3">
        <v>2392</v>
      </c>
      <c r="I505" s="3">
        <v>2403.9499999999998</v>
      </c>
      <c r="J505" s="3">
        <v>3211</v>
      </c>
      <c r="K505" s="3">
        <v>2025</v>
      </c>
      <c r="L505" s="1" t="s">
        <v>56</v>
      </c>
      <c r="M505" s="1" t="s">
        <v>57</v>
      </c>
      <c r="N505" s="4">
        <v>27629</v>
      </c>
      <c r="O505" s="7">
        <f t="shared" si="28"/>
        <v>-0.28347507086877527</v>
      </c>
      <c r="P505" s="8">
        <f t="shared" si="29"/>
        <v>34.5</v>
      </c>
      <c r="Q505" s="7">
        <f t="shared" si="30"/>
        <v>19.326468565637555</v>
      </c>
      <c r="R505" s="7">
        <f t="shared" si="31"/>
        <v>-25.506072874493928</v>
      </c>
    </row>
    <row r="506" spans="1:18" ht="14.4" customHeight="1">
      <c r="A506" s="2">
        <v>45915</v>
      </c>
      <c r="B506" s="1" t="s">
        <v>14</v>
      </c>
      <c r="C506" s="3">
        <v>2392</v>
      </c>
      <c r="D506" s="3">
        <v>2402.8000000000002</v>
      </c>
      <c r="E506" s="3">
        <v>2378.1</v>
      </c>
      <c r="F506" s="3">
        <v>2392</v>
      </c>
      <c r="G506" s="3">
        <v>2381</v>
      </c>
      <c r="H506" s="3">
        <v>2383.4</v>
      </c>
      <c r="I506" s="3">
        <v>2389.59</v>
      </c>
      <c r="J506" s="3">
        <v>3211</v>
      </c>
      <c r="K506" s="3">
        <v>2025</v>
      </c>
      <c r="L506" s="1" t="s">
        <v>54</v>
      </c>
      <c r="M506" s="1" t="s">
        <v>55</v>
      </c>
      <c r="N506" s="4">
        <v>20087</v>
      </c>
      <c r="O506" s="7">
        <f t="shared" si="28"/>
        <v>-0.35953177257524704</v>
      </c>
      <c r="P506" s="8">
        <f t="shared" si="29"/>
        <v>24.700000000000273</v>
      </c>
      <c r="Q506" s="7">
        <f t="shared" si="30"/>
        <v>14.841887788121671</v>
      </c>
      <c r="R506" s="7">
        <f t="shared" si="31"/>
        <v>-25.773902211149174</v>
      </c>
    </row>
    <row r="507" spans="1:18" ht="14.4" customHeight="1">
      <c r="A507" s="2">
        <v>45916</v>
      </c>
      <c r="B507" s="1" t="s">
        <v>14</v>
      </c>
      <c r="C507" s="3">
        <v>2410</v>
      </c>
      <c r="D507" s="3">
        <v>2415.8000000000002</v>
      </c>
      <c r="E507" s="3">
        <v>2388</v>
      </c>
      <c r="F507" s="3">
        <v>2383.4</v>
      </c>
      <c r="G507" s="3">
        <v>2401</v>
      </c>
      <c r="H507" s="3">
        <v>2399.4</v>
      </c>
      <c r="I507" s="3">
        <v>2398.04</v>
      </c>
      <c r="J507" s="3">
        <v>3211</v>
      </c>
      <c r="K507" s="3">
        <v>2025</v>
      </c>
      <c r="L507" s="1" t="s">
        <v>52</v>
      </c>
      <c r="M507" s="1" t="s">
        <v>53</v>
      </c>
      <c r="N507" s="4">
        <v>33207</v>
      </c>
      <c r="O507" s="7">
        <f t="shared" si="28"/>
        <v>0.67130989342955438</v>
      </c>
      <c r="P507" s="8">
        <f t="shared" si="29"/>
        <v>27.800000000000182</v>
      </c>
      <c r="Q507" s="7">
        <f t="shared" si="30"/>
        <v>22.675309422712079</v>
      </c>
      <c r="R507" s="7">
        <f t="shared" si="31"/>
        <v>-25.275615073185918</v>
      </c>
    </row>
    <row r="508" spans="1:18" ht="14.4" customHeight="1">
      <c r="A508" s="2">
        <v>45917</v>
      </c>
      <c r="B508" s="1" t="s">
        <v>14</v>
      </c>
      <c r="C508" s="3">
        <v>2417</v>
      </c>
      <c r="D508" s="3">
        <v>2417</v>
      </c>
      <c r="E508" s="3">
        <v>2391</v>
      </c>
      <c r="F508" s="3">
        <v>2399.4</v>
      </c>
      <c r="G508" s="3">
        <v>2408</v>
      </c>
      <c r="H508" s="3">
        <v>2402</v>
      </c>
      <c r="I508" s="3">
        <v>2402.5</v>
      </c>
      <c r="J508" s="3">
        <v>3211</v>
      </c>
      <c r="K508" s="3">
        <v>2025</v>
      </c>
      <c r="L508" s="1" t="s">
        <v>50</v>
      </c>
      <c r="M508" s="1" t="s">
        <v>51</v>
      </c>
      <c r="N508" s="4">
        <v>30311</v>
      </c>
      <c r="O508" s="7">
        <f t="shared" si="28"/>
        <v>0.10836042343918935</v>
      </c>
      <c r="P508" s="8">
        <f t="shared" si="29"/>
        <v>26</v>
      </c>
      <c r="Q508" s="7">
        <f t="shared" si="30"/>
        <v>16.969219095377916</v>
      </c>
      <c r="R508" s="7">
        <f t="shared" si="31"/>
        <v>-25.194643413266892</v>
      </c>
    </row>
    <row r="509" spans="1:18" ht="14.4" customHeight="1">
      <c r="A509" s="2">
        <v>45918</v>
      </c>
      <c r="B509" s="1" t="s">
        <v>14</v>
      </c>
      <c r="C509" s="3">
        <v>2414.5</v>
      </c>
      <c r="D509" s="3">
        <v>2438</v>
      </c>
      <c r="E509" s="3">
        <v>2388.4</v>
      </c>
      <c r="F509" s="3">
        <v>2402</v>
      </c>
      <c r="G509" s="3">
        <v>2402</v>
      </c>
      <c r="H509" s="3">
        <v>2402</v>
      </c>
      <c r="I509" s="3">
        <v>2409.5500000000002</v>
      </c>
      <c r="J509" s="3">
        <v>3211</v>
      </c>
      <c r="K509" s="3">
        <v>2025</v>
      </c>
      <c r="L509" s="1" t="s">
        <v>48</v>
      </c>
      <c r="M509" s="1" t="s">
        <v>49</v>
      </c>
      <c r="N509" s="4">
        <v>35404</v>
      </c>
      <c r="O509" s="7">
        <f t="shared" si="28"/>
        <v>0</v>
      </c>
      <c r="P509" s="8">
        <f t="shared" si="29"/>
        <v>49.599999999999909</v>
      </c>
      <c r="Q509" s="7">
        <f t="shared" si="30"/>
        <v>19.877132527398032</v>
      </c>
      <c r="R509" s="7">
        <f t="shared" si="31"/>
        <v>-25.194643413266892</v>
      </c>
    </row>
    <row r="510" spans="1:18" ht="14.4" customHeight="1">
      <c r="A510" s="2">
        <v>45919</v>
      </c>
      <c r="B510" s="1" t="s">
        <v>14</v>
      </c>
      <c r="C510" s="3">
        <v>2495</v>
      </c>
      <c r="D510" s="3">
        <v>2579</v>
      </c>
      <c r="E510" s="3">
        <v>2466.1</v>
      </c>
      <c r="F510" s="3">
        <v>2402</v>
      </c>
      <c r="G510" s="3">
        <v>2528</v>
      </c>
      <c r="H510" s="3">
        <v>2524</v>
      </c>
      <c r="I510" s="3">
        <v>2520.0100000000002</v>
      </c>
      <c r="J510" s="3">
        <v>3211</v>
      </c>
      <c r="K510" s="3">
        <v>2025</v>
      </c>
      <c r="L510" s="1" t="s">
        <v>45</v>
      </c>
      <c r="M510" s="1" t="s">
        <v>46</v>
      </c>
      <c r="N510" s="1" t="s">
        <v>47</v>
      </c>
      <c r="O510" s="7">
        <f t="shared" si="28"/>
        <v>5.0791007493755203</v>
      </c>
      <c r="P510" s="8">
        <f t="shared" si="29"/>
        <v>112.90000000000009</v>
      </c>
      <c r="Q510" s="7">
        <f t="shared" si="30"/>
        <v>33.372025792179386</v>
      </c>
      <c r="R510" s="7">
        <f t="shared" si="31"/>
        <v>-21.395203986297105</v>
      </c>
    </row>
    <row r="511" spans="1:18" ht="14.4" customHeight="1">
      <c r="A511" s="2">
        <v>45922</v>
      </c>
      <c r="B511" s="1" t="s">
        <v>14</v>
      </c>
      <c r="C511" s="3">
        <v>2535</v>
      </c>
      <c r="D511" s="3">
        <v>2659</v>
      </c>
      <c r="E511" s="3">
        <v>2522.1</v>
      </c>
      <c r="F511" s="3">
        <v>2524</v>
      </c>
      <c r="G511" s="3">
        <v>2624.5</v>
      </c>
      <c r="H511" s="3">
        <v>2629.5</v>
      </c>
      <c r="I511" s="3">
        <v>2615.4899999999998</v>
      </c>
      <c r="J511" s="3">
        <v>3211</v>
      </c>
      <c r="K511" s="3">
        <v>2025</v>
      </c>
      <c r="L511" s="1" t="s">
        <v>42</v>
      </c>
      <c r="M511" s="1" t="s">
        <v>43</v>
      </c>
      <c r="N511" s="1" t="s">
        <v>44</v>
      </c>
      <c r="O511" s="7">
        <f t="shared" si="28"/>
        <v>4.1798732171156896</v>
      </c>
      <c r="P511" s="8">
        <f t="shared" si="29"/>
        <v>136.90000000000009</v>
      </c>
      <c r="Q511" s="7">
        <f t="shared" si="30"/>
        <v>35.010244369335688</v>
      </c>
      <c r="R511" s="7">
        <f t="shared" si="31"/>
        <v>-18.109623170351917</v>
      </c>
    </row>
    <row r="512" spans="1:18" ht="14.4" customHeight="1">
      <c r="A512" s="2">
        <v>45923</v>
      </c>
      <c r="B512" s="1" t="s">
        <v>14</v>
      </c>
      <c r="C512" s="3">
        <v>2642.6</v>
      </c>
      <c r="D512" s="3">
        <v>2695</v>
      </c>
      <c r="E512" s="3">
        <v>2593</v>
      </c>
      <c r="F512" s="3">
        <v>2629.5</v>
      </c>
      <c r="G512" s="3">
        <v>2666</v>
      </c>
      <c r="H512" s="3">
        <v>2676.4</v>
      </c>
      <c r="I512" s="3">
        <v>2665.79</v>
      </c>
      <c r="J512" s="3">
        <v>3211</v>
      </c>
      <c r="K512" s="3">
        <v>2025</v>
      </c>
      <c r="L512" s="1" t="s">
        <v>39</v>
      </c>
      <c r="M512" s="1" t="s">
        <v>40</v>
      </c>
      <c r="N512" s="1" t="s">
        <v>41</v>
      </c>
      <c r="O512" s="7">
        <f t="shared" si="28"/>
        <v>1.7836090511504124</v>
      </c>
      <c r="P512" s="8">
        <f t="shared" si="29"/>
        <v>102</v>
      </c>
      <c r="Q512" s="7">
        <f t="shared" si="30"/>
        <v>33.525493617631589</v>
      </c>
      <c r="R512" s="7">
        <f t="shared" si="31"/>
        <v>-16.649018997197132</v>
      </c>
    </row>
    <row r="513" spans="1:18" ht="14.4" customHeight="1">
      <c r="A513" s="2">
        <v>45924</v>
      </c>
      <c r="B513" s="1" t="s">
        <v>14</v>
      </c>
      <c r="C513" s="3">
        <v>2655</v>
      </c>
      <c r="D513" s="3">
        <v>2676</v>
      </c>
      <c r="E513" s="3">
        <v>2614.4</v>
      </c>
      <c r="F513" s="3">
        <v>2676.4</v>
      </c>
      <c r="G513" s="3">
        <v>2624</v>
      </c>
      <c r="H513" s="3">
        <v>2619.8000000000002</v>
      </c>
      <c r="I513" s="3">
        <v>2647.88</v>
      </c>
      <c r="J513" s="3">
        <v>3211</v>
      </c>
      <c r="K513" s="3">
        <v>2025</v>
      </c>
      <c r="L513" s="1" t="s">
        <v>37</v>
      </c>
      <c r="M513" s="1" t="s">
        <v>38</v>
      </c>
      <c r="N513" s="4">
        <v>60770</v>
      </c>
      <c r="O513" s="7">
        <f t="shared" si="28"/>
        <v>-2.1147810491705243</v>
      </c>
      <c r="P513" s="8">
        <f t="shared" si="29"/>
        <v>61.599999999999909</v>
      </c>
      <c r="Q513" s="7">
        <f t="shared" si="30"/>
        <v>28.316356754977786</v>
      </c>
      <c r="R513" s="7">
        <f t="shared" si="31"/>
        <v>-18.41170974774213</v>
      </c>
    </row>
    <row r="514" spans="1:18" ht="14.4" customHeight="1">
      <c r="A514" s="2">
        <v>45925</v>
      </c>
      <c r="B514" s="1" t="s">
        <v>14</v>
      </c>
      <c r="C514" s="3">
        <v>2625</v>
      </c>
      <c r="D514" s="3">
        <v>2647.9</v>
      </c>
      <c r="E514" s="3">
        <v>2567</v>
      </c>
      <c r="F514" s="3">
        <v>2619.8000000000002</v>
      </c>
      <c r="G514" s="3">
        <v>2573.3000000000002</v>
      </c>
      <c r="H514" s="3">
        <v>2576.4</v>
      </c>
      <c r="I514" s="3">
        <v>2608.3200000000002</v>
      </c>
      <c r="J514" s="3">
        <v>3211</v>
      </c>
      <c r="K514" s="3">
        <v>2025</v>
      </c>
      <c r="L514" s="1" t="s">
        <v>35</v>
      </c>
      <c r="M514" s="1" t="s">
        <v>36</v>
      </c>
      <c r="N514" s="4">
        <v>50400</v>
      </c>
      <c r="O514" s="7">
        <f t="shared" ref="O514:O524" si="32">((H514-F514)/F514)*100</f>
        <v>-1.6566150087792992</v>
      </c>
      <c r="P514" s="8">
        <f t="shared" ref="P514:P524" si="33">(D514-E514)</f>
        <v>80.900000000000091</v>
      </c>
      <c r="Q514" s="7">
        <f t="shared" ref="Q514:Q524" si="34">IF(N514=0,0,L514/N514)</f>
        <v>29.55718253968254</v>
      </c>
      <c r="R514" s="7">
        <f t="shared" ref="R514:R524" si="35">((H514-J514)/J514)*100</f>
        <v>-19.763313609467453</v>
      </c>
    </row>
    <row r="515" spans="1:18" ht="14.4" customHeight="1">
      <c r="A515" s="2">
        <v>45926</v>
      </c>
      <c r="B515" s="1" t="s">
        <v>14</v>
      </c>
      <c r="C515" s="3">
        <v>2572.8000000000002</v>
      </c>
      <c r="D515" s="3">
        <v>2605</v>
      </c>
      <c r="E515" s="3">
        <v>2535</v>
      </c>
      <c r="F515" s="3">
        <v>2576.4</v>
      </c>
      <c r="G515" s="3">
        <v>2535.6</v>
      </c>
      <c r="H515" s="3">
        <v>2543.6999999999998</v>
      </c>
      <c r="I515" s="3">
        <v>2570.86</v>
      </c>
      <c r="J515" s="3">
        <v>3211</v>
      </c>
      <c r="K515" s="3">
        <v>2025</v>
      </c>
      <c r="L515" s="1" t="s">
        <v>33</v>
      </c>
      <c r="M515" s="1" t="s">
        <v>34</v>
      </c>
      <c r="N515" s="4">
        <v>46432</v>
      </c>
      <c r="O515" s="7">
        <f t="shared" si="32"/>
        <v>-1.2692128551467268</v>
      </c>
      <c r="P515" s="8">
        <f t="shared" si="33"/>
        <v>70</v>
      </c>
      <c r="Q515" s="7">
        <f t="shared" si="34"/>
        <v>22.351137146795313</v>
      </c>
      <c r="R515" s="7">
        <f t="shared" si="35"/>
        <v>-20.781687947679856</v>
      </c>
    </row>
    <row r="516" spans="1:18" ht="14.4" customHeight="1">
      <c r="A516" s="2">
        <v>45929</v>
      </c>
      <c r="B516" s="1" t="s">
        <v>14</v>
      </c>
      <c r="C516" s="3">
        <v>2543.6999999999998</v>
      </c>
      <c r="D516" s="3">
        <v>2555</v>
      </c>
      <c r="E516" s="3">
        <v>2505</v>
      </c>
      <c r="F516" s="3">
        <v>2543.6999999999998</v>
      </c>
      <c r="G516" s="3">
        <v>2521</v>
      </c>
      <c r="H516" s="3">
        <v>2509.5</v>
      </c>
      <c r="I516" s="3">
        <v>2528.21</v>
      </c>
      <c r="J516" s="3">
        <v>3211</v>
      </c>
      <c r="K516" s="3">
        <v>2025</v>
      </c>
      <c r="L516" s="1" t="s">
        <v>31</v>
      </c>
      <c r="M516" s="1" t="s">
        <v>32</v>
      </c>
      <c r="N516" s="4">
        <v>48219</v>
      </c>
      <c r="O516" s="7">
        <f t="shared" si="32"/>
        <v>-1.3444981719542328</v>
      </c>
      <c r="P516" s="8">
        <f t="shared" si="33"/>
        <v>50</v>
      </c>
      <c r="Q516" s="7">
        <f t="shared" si="34"/>
        <v>20.995914473547771</v>
      </c>
      <c r="R516" s="7">
        <f t="shared" si="35"/>
        <v>-21.846776705076302</v>
      </c>
    </row>
    <row r="517" spans="1:18" ht="14.4" customHeight="1">
      <c r="A517" s="2">
        <v>45930</v>
      </c>
      <c r="B517" s="1" t="s">
        <v>14</v>
      </c>
      <c r="C517" s="3">
        <v>2522</v>
      </c>
      <c r="D517" s="3">
        <v>2535</v>
      </c>
      <c r="E517" s="3">
        <v>2490.6</v>
      </c>
      <c r="F517" s="3">
        <v>2509.5</v>
      </c>
      <c r="G517" s="3">
        <v>2509</v>
      </c>
      <c r="H517" s="3">
        <v>2505.9</v>
      </c>
      <c r="I517" s="3">
        <v>2512.9699999999998</v>
      </c>
      <c r="J517" s="3">
        <v>3211</v>
      </c>
      <c r="K517" s="3">
        <v>2025</v>
      </c>
      <c r="L517" s="1" t="s">
        <v>29</v>
      </c>
      <c r="M517" s="1" t="s">
        <v>30</v>
      </c>
      <c r="N517" s="4">
        <v>38461</v>
      </c>
      <c r="O517" s="7">
        <f t="shared" si="32"/>
        <v>-0.14345487148834069</v>
      </c>
      <c r="P517" s="8">
        <f t="shared" si="33"/>
        <v>44.400000000000091</v>
      </c>
      <c r="Q517" s="7">
        <f t="shared" si="34"/>
        <v>18.52765138711942</v>
      </c>
      <c r="R517" s="7">
        <f t="shared" si="35"/>
        <v>-21.958891311118027</v>
      </c>
    </row>
    <row r="518" spans="1:18" ht="14.4" customHeight="1">
      <c r="A518" s="2">
        <v>45931</v>
      </c>
      <c r="B518" s="1" t="s">
        <v>14</v>
      </c>
      <c r="C518" s="3">
        <v>2518.4</v>
      </c>
      <c r="D518" s="3">
        <v>2603.4</v>
      </c>
      <c r="E518" s="3">
        <v>2472.1</v>
      </c>
      <c r="F518" s="3">
        <v>2505.9</v>
      </c>
      <c r="G518" s="3">
        <v>2594.3000000000002</v>
      </c>
      <c r="H518" s="3">
        <v>2592.6999999999998</v>
      </c>
      <c r="I518" s="3">
        <v>2534.6999999999998</v>
      </c>
      <c r="J518" s="3">
        <v>3211</v>
      </c>
      <c r="K518" s="3">
        <v>2025</v>
      </c>
      <c r="L518" s="1" t="s">
        <v>27</v>
      </c>
      <c r="M518" s="1" t="s">
        <v>28</v>
      </c>
      <c r="N518" s="4">
        <v>57732</v>
      </c>
      <c r="O518" s="7">
        <f t="shared" si="32"/>
        <v>3.4638253721217813</v>
      </c>
      <c r="P518" s="8">
        <f t="shared" si="33"/>
        <v>131.30000000000018</v>
      </c>
      <c r="Q518" s="7">
        <f t="shared" si="34"/>
        <v>27.254988567865308</v>
      </c>
      <c r="R518" s="7">
        <f t="shared" si="35"/>
        <v>-19.255683587667399</v>
      </c>
    </row>
    <row r="519" spans="1:18" ht="14.4" customHeight="1">
      <c r="A519" s="2">
        <v>45933</v>
      </c>
      <c r="B519" s="1" t="s">
        <v>14</v>
      </c>
      <c r="C519" s="3">
        <v>2595</v>
      </c>
      <c r="D519" s="3">
        <v>2612.9</v>
      </c>
      <c r="E519" s="3">
        <v>2564.4</v>
      </c>
      <c r="F519" s="3">
        <v>2592.6999999999998</v>
      </c>
      <c r="G519" s="3">
        <v>2586.1</v>
      </c>
      <c r="H519" s="3">
        <v>2589.9</v>
      </c>
      <c r="I519" s="3">
        <v>2588.4899999999998</v>
      </c>
      <c r="J519" s="3">
        <v>3211</v>
      </c>
      <c r="K519" s="3">
        <v>2025</v>
      </c>
      <c r="L519" s="1" t="s">
        <v>25</v>
      </c>
      <c r="M519" s="1" t="s">
        <v>26</v>
      </c>
      <c r="N519" s="4">
        <v>37872</v>
      </c>
      <c r="O519" s="7">
        <f t="shared" si="32"/>
        <v>-0.10799552589963078</v>
      </c>
      <c r="P519" s="8">
        <f t="shared" si="33"/>
        <v>48.5</v>
      </c>
      <c r="Q519" s="7">
        <f t="shared" si="34"/>
        <v>24.230328474862695</v>
      </c>
      <c r="R519" s="7">
        <f t="shared" si="35"/>
        <v>-19.342883836810959</v>
      </c>
    </row>
    <row r="520" spans="1:18" ht="14.4" customHeight="1">
      <c r="A520" s="2">
        <v>45936</v>
      </c>
      <c r="B520" s="1" t="s">
        <v>14</v>
      </c>
      <c r="C520" s="3">
        <v>2589.1</v>
      </c>
      <c r="D520" s="3">
        <v>2599.8000000000002</v>
      </c>
      <c r="E520" s="3">
        <v>2562.6</v>
      </c>
      <c r="F520" s="3">
        <v>2589.9</v>
      </c>
      <c r="G520" s="3">
        <v>2573</v>
      </c>
      <c r="H520" s="3">
        <v>2573.5</v>
      </c>
      <c r="I520" s="3">
        <v>2575.41</v>
      </c>
      <c r="J520" s="3">
        <v>3211</v>
      </c>
      <c r="K520" s="3">
        <v>2025</v>
      </c>
      <c r="L520" s="1" t="s">
        <v>23</v>
      </c>
      <c r="M520" s="1" t="s">
        <v>24</v>
      </c>
      <c r="N520" s="4">
        <v>29063</v>
      </c>
      <c r="O520" s="7">
        <f t="shared" si="32"/>
        <v>-0.63322908220394958</v>
      </c>
      <c r="P520" s="8">
        <f t="shared" si="33"/>
        <v>37.200000000000273</v>
      </c>
      <c r="Q520" s="7">
        <f t="shared" si="34"/>
        <v>22.535698310566701</v>
      </c>
      <c r="R520" s="7">
        <f t="shared" si="35"/>
        <v>-19.853628153223298</v>
      </c>
    </row>
    <row r="521" spans="1:18" ht="14.4" customHeight="1">
      <c r="A521" s="2">
        <v>45937</v>
      </c>
      <c r="B521" s="1" t="s">
        <v>14</v>
      </c>
      <c r="C521" s="3">
        <v>2580.6999999999998</v>
      </c>
      <c r="D521" s="3">
        <v>2617.3000000000002</v>
      </c>
      <c r="E521" s="3">
        <v>2533.1</v>
      </c>
      <c r="F521" s="3">
        <v>2573.5</v>
      </c>
      <c r="G521" s="3">
        <v>2556.5</v>
      </c>
      <c r="H521" s="3">
        <v>2542.1999999999998</v>
      </c>
      <c r="I521" s="3">
        <v>2579.42</v>
      </c>
      <c r="J521" s="3">
        <v>3211</v>
      </c>
      <c r="K521" s="3">
        <v>2025</v>
      </c>
      <c r="L521" s="1" t="s">
        <v>21</v>
      </c>
      <c r="M521" s="1" t="s">
        <v>22</v>
      </c>
      <c r="N521" s="4">
        <v>48731</v>
      </c>
      <c r="O521" s="7">
        <f t="shared" si="32"/>
        <v>-1.2162424713425368</v>
      </c>
      <c r="P521" s="8">
        <f t="shared" si="33"/>
        <v>84.200000000000273</v>
      </c>
      <c r="Q521" s="7">
        <f t="shared" si="34"/>
        <v>22.988036362890153</v>
      </c>
      <c r="R521" s="7">
        <f t="shared" si="35"/>
        <v>-20.828402366863909</v>
      </c>
    </row>
    <row r="522" spans="1:18" ht="14.4" customHeight="1">
      <c r="A522" s="2">
        <v>45938</v>
      </c>
      <c r="B522" s="1" t="s">
        <v>14</v>
      </c>
      <c r="C522" s="3">
        <v>2562</v>
      </c>
      <c r="D522" s="3">
        <v>2565</v>
      </c>
      <c r="E522" s="3">
        <v>2500</v>
      </c>
      <c r="F522" s="3">
        <v>2542.1999999999998</v>
      </c>
      <c r="G522" s="3">
        <v>2525</v>
      </c>
      <c r="H522" s="3">
        <v>2524.1</v>
      </c>
      <c r="I522" s="3">
        <v>2524.6799999999998</v>
      </c>
      <c r="J522" s="3">
        <v>3211</v>
      </c>
      <c r="K522" s="3">
        <v>2025</v>
      </c>
      <c r="L522" s="1" t="s">
        <v>19</v>
      </c>
      <c r="M522" s="1" t="s">
        <v>20</v>
      </c>
      <c r="N522" s="4">
        <v>40794</v>
      </c>
      <c r="O522" s="7">
        <f t="shared" si="32"/>
        <v>-0.71198174809220005</v>
      </c>
      <c r="P522" s="8">
        <f t="shared" si="33"/>
        <v>65</v>
      </c>
      <c r="Q522" s="7">
        <f t="shared" si="34"/>
        <v>26.066504878168359</v>
      </c>
      <c r="R522" s="7">
        <f t="shared" si="35"/>
        <v>-21.392089691684838</v>
      </c>
    </row>
    <row r="523" spans="1:18" ht="14.4" customHeight="1">
      <c r="A523" s="2">
        <v>45939</v>
      </c>
      <c r="B523" s="1" t="s">
        <v>14</v>
      </c>
      <c r="C523" s="3">
        <v>2535</v>
      </c>
      <c r="D523" s="3">
        <v>2559</v>
      </c>
      <c r="E523" s="3">
        <v>2522.1999999999998</v>
      </c>
      <c r="F523" s="3">
        <v>2524.1</v>
      </c>
      <c r="G523" s="3">
        <v>2547</v>
      </c>
      <c r="H523" s="3">
        <v>2542.4</v>
      </c>
      <c r="I523" s="3">
        <v>2544.7399999999998</v>
      </c>
      <c r="J523" s="3">
        <v>3211</v>
      </c>
      <c r="K523" s="3">
        <v>2025</v>
      </c>
      <c r="L523" s="1" t="s">
        <v>17</v>
      </c>
      <c r="M523" s="1" t="s">
        <v>18</v>
      </c>
      <c r="N523" s="4">
        <v>28591</v>
      </c>
      <c r="O523" s="7">
        <f t="shared" si="32"/>
        <v>0.72501089497247262</v>
      </c>
      <c r="P523" s="8">
        <f t="shared" si="33"/>
        <v>36.800000000000182</v>
      </c>
      <c r="Q523" s="7">
        <f t="shared" si="34"/>
        <v>22.793991116085483</v>
      </c>
      <c r="R523" s="7">
        <f t="shared" si="35"/>
        <v>-20.82217377763936</v>
      </c>
    </row>
    <row r="524" spans="1:18" ht="14.4" customHeight="1">
      <c r="A524" s="2">
        <v>45940</v>
      </c>
      <c r="B524" s="1" t="s">
        <v>14</v>
      </c>
      <c r="C524" s="3">
        <v>2552</v>
      </c>
      <c r="D524" s="3">
        <v>2565</v>
      </c>
      <c r="E524" s="3">
        <v>2538.8000000000002</v>
      </c>
      <c r="F524" s="3">
        <v>2542.4</v>
      </c>
      <c r="G524" s="3">
        <v>2542.1</v>
      </c>
      <c r="H524" s="3">
        <v>2550.9</v>
      </c>
      <c r="I524" s="3">
        <v>2552.39</v>
      </c>
      <c r="J524" s="3">
        <v>3211</v>
      </c>
      <c r="K524" s="3">
        <v>2025</v>
      </c>
      <c r="L524" s="1" t="s">
        <v>15</v>
      </c>
      <c r="M524" s="1" t="s">
        <v>16</v>
      </c>
      <c r="N524" s="4">
        <v>30769</v>
      </c>
      <c r="O524" s="7">
        <f t="shared" si="32"/>
        <v>0.33432976714915041</v>
      </c>
      <c r="P524" s="8">
        <f t="shared" si="33"/>
        <v>26.199999999999818</v>
      </c>
      <c r="Q524" s="7">
        <f t="shared" si="34"/>
        <v>22.429783223374177</v>
      </c>
      <c r="R524" s="7">
        <f t="shared" si="35"/>
        <v>-20.557458735596384</v>
      </c>
    </row>
  </sheetData>
  <autoFilter ref="A1:N524" xr:uid="{2846C420-B0CD-4687-9FC7-90D30F4AFF2C}"/>
  <sortState xmlns:xlrd2="http://schemas.microsoft.com/office/spreadsheetml/2017/richdata2" ref="A2:R524">
    <sortCondition ref="A2:A524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 sanjay</dc:creator>
  <cp:lastModifiedBy>Ramesh sanjay</cp:lastModifiedBy>
  <dcterms:created xsi:type="dcterms:W3CDTF">2025-10-11T09:33:22Z</dcterms:created>
  <dcterms:modified xsi:type="dcterms:W3CDTF">2025-10-12T05:51:40Z</dcterms:modified>
</cp:coreProperties>
</file>